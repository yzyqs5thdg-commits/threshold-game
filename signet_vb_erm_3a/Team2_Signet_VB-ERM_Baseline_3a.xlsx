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amp; Sources" sheetId="2" state="visible" r:id="rId2"/>
    <sheet xmlns:r="http://schemas.openxmlformats.org/officeDocument/2006/relationships" name="Model - NA" sheetId="3" state="visible" r:id="rId3"/>
    <sheet xmlns:r="http://schemas.openxmlformats.org/officeDocument/2006/relationships" name="Model - INTL" sheetId="4" state="visible" r:id="rId4"/>
    <sheet xmlns:r="http://schemas.openxmlformats.org/officeDocument/2006/relationships" name="Model - OTHER" sheetId="5" state="visible" r:id="rId5"/>
    <sheet xmlns:r="http://schemas.openxmlformats.org/officeDocument/2006/relationships" name="Total Company" sheetId="6" state="visible" r:id="rId6"/>
    <sheet xmlns:r="http://schemas.openxmlformats.org/officeDocument/2006/relationships" name="Summary &amp; Chart" sheetId="7" state="visible" r:id="rId7"/>
    <sheet xmlns:r="http://schemas.openxmlformats.org/officeDocument/2006/relationships" name="Checks" sheetId="8" state="visible" r:id="rId8"/>
    <sheet xmlns:r="http://schemas.openxmlformats.org/officeDocument/2006/relationships" name="Appx A - Summary" sheetId="9" state="visible" r:id="rId9"/>
    <sheet xmlns:r="http://schemas.openxmlformats.org/officeDocument/2006/relationships" name="Appx B - Design Memo" sheetId="10" state="visible" r:id="rId10"/>
    <sheet xmlns:r="http://schemas.openxmlformats.org/officeDocument/2006/relationships" name="Appx C - Research Notes" sheetId="11" state="visible" r:id="rId11"/>
    <sheet xmlns:r="http://schemas.openxmlformats.org/officeDocument/2006/relationships" name="Appx D - Data" sheetId="12" state="visible" r:id="rId12"/>
  </sheets>
  <definedNames>
    <definedName name="_xlnm.Print_Area" localSheetId="0">'Cover'!$A$1:$C$34</definedName>
    <definedName name="_xlnm.Print_Area" localSheetId="1">'Assumptions &amp; Sources'!$A$1:$G$87</definedName>
    <definedName name="_xlnm.Print_Titles" localSheetId="2">'Model - NA'!$3:$3</definedName>
    <definedName name="_xlnm.Print_Area" localSheetId="2">'Model - NA'!$A$1:$O$112</definedName>
    <definedName name="_xlnm.Print_Titles" localSheetId="3">'Model - INTL'!$3:$3</definedName>
    <definedName name="_xlnm.Print_Area" localSheetId="3">'Model - INTL'!$A$1:$O$112</definedName>
    <definedName name="_xlnm.Print_Titles" localSheetId="4">'Model - OTHER'!$3:$3</definedName>
    <definedName name="_xlnm.Print_Area" localSheetId="4">'Model - OTHER'!$A$1:$O$112</definedName>
    <definedName name="_xlnm.Print_Titles" localSheetId="5">'Total Company'!$3:$3</definedName>
    <definedName name="_xlnm.Print_Area" localSheetId="5">'Total Company'!$A$1:$O$128</definedName>
    <definedName name="_xlnm.Print_Area" localSheetId="6">'Summary &amp; Chart'!$A$1:$T$40</definedName>
    <definedName name="_xlnm.Print_Area" localSheetId="7">'Checks'!$A$1:$E$39</definedName>
    <definedName name="_xlnm.Print_Area" localSheetId="8">'Appx A - Summary'!$A$1:$H$51</definedName>
    <definedName name="_xlnm.Print_Area" localSheetId="9">'Appx B - Design Memo'!$A$1:$H$30</definedName>
    <definedName name="_xlnm.Print_Area" localSheetId="10">'Appx C - Research Notes'!$A$1:$H$104</definedName>
    <definedName name="_xlnm.Print_Area" localSheetId="11">'Appx D - Data'!$A$1:$L$198</definedName>
  </definedNames>
  <calcPr calcId="124519" fullCalcOnLoad="1"/>
</workbook>
</file>

<file path=xl/styles.xml><?xml version="1.0" encoding="utf-8"?>
<styleSheet xmlns="http://schemas.openxmlformats.org/spreadsheetml/2006/main">
  <numFmts count="8">
    <numFmt numFmtId="164" formatCode="#,##0;(#,##0);&quot;-&quot;"/>
    <numFmt numFmtId="165" formatCode="0.0%;(0.0%);&quot;-&quot;"/>
    <numFmt numFmtId="166" formatCode="#,##0.0;(#,##0.0);&quot;-&quot;"/>
    <numFmt numFmtId="167" formatCode="#,##0.000;(#,##0.000);&quot;-&quot;"/>
    <numFmt numFmtId="168" formatCode="$#,##0.00;($#,##0.00);&quot;-&quot;"/>
    <numFmt numFmtId="169" formatCode="yyyy-mm-dd"/>
    <numFmt numFmtId="170" formatCode="$#,##0.00"/>
    <numFmt numFmtId="171" formatCode="0.0&quot;x&quot;"/>
  </numFmts>
  <fonts count="11">
    <font>
      <name val="Calibri"/>
      <family val="2"/>
      <color theme="1"/>
      <sz val="11"/>
      <scheme val="minor"/>
    </font>
    <font>
      <name val="Calibri"/>
      <b val="1"/>
      <color rgb="001F3864"/>
      <sz val="14"/>
    </font>
    <font>
      <name val="Calibri"/>
      <i val="1"/>
      <color rgb="00808080"/>
      <sz val="9"/>
    </font>
    <font>
      <name val="Calibri"/>
      <b val="1"/>
      <color rgb="00000000"/>
      <sz val="10"/>
    </font>
    <font>
      <name val="Calibri"/>
      <b val="1"/>
      <color rgb="001F3864"/>
      <sz val="11"/>
    </font>
    <font>
      <name val="Calibri"/>
      <color rgb="00000000"/>
      <sz val="10"/>
    </font>
    <font>
      <name val="Calibri"/>
      <color rgb="000000FF"/>
      <sz val="10"/>
    </font>
    <font>
      <name val="Calibri"/>
      <b val="1"/>
      <color rgb="000000FF"/>
      <sz val="10"/>
    </font>
    <font>
      <name val="Calibri"/>
      <color rgb="00008000"/>
      <sz val="10"/>
    </font>
    <font>
      <name val="Calibri"/>
      <b val="1"/>
      <color rgb="00008000"/>
      <sz val="10"/>
    </font>
    <font>
      <name val="Calibri"/>
      <b val="1"/>
      <color rgb="001F3864"/>
      <sz val="13"/>
    </font>
  </fonts>
  <fills count="6">
    <fill>
      <patternFill/>
    </fill>
    <fill>
      <patternFill patternType="gray125"/>
    </fill>
    <fill>
      <patternFill patternType="solid">
        <fgColor rgb="00BDD7EE"/>
      </patternFill>
    </fill>
    <fill>
      <patternFill patternType="solid">
        <fgColor rgb="00DDEBF7"/>
      </patternFill>
    </fill>
    <fill>
      <patternFill patternType="solid">
        <fgColor rgb="00F2F2F2"/>
      </patternFill>
    </fill>
    <fill>
      <patternFill patternType="solid">
        <fgColor rgb="00EDEDED"/>
      </patternFill>
    </fill>
  </fills>
  <borders count="2">
    <border>
      <left/>
      <right/>
      <top/>
      <bottom/>
      <diagonal/>
    </border>
    <border>
      <top style="thin"/>
      <bottom style="double"/>
    </border>
  </borders>
  <cellStyleXfs count="1">
    <xf numFmtId="0" fontId="0" fillId="0" borderId="0"/>
  </cellStyleXfs>
  <cellXfs count="56">
    <xf numFmtId="0" fontId="0" fillId="0" borderId="0" pivotButton="0" quotePrefix="0" xfId="0"/>
    <xf numFmtId="0" fontId="1" fillId="0" borderId="0" pivotButton="0" quotePrefix="0" xfId="0"/>
    <xf numFmtId="0" fontId="10" fillId="0" borderId="0" pivotButton="0" quotePrefix="0" xfId="0"/>
    <xf numFmtId="0" fontId="3" fillId="0" borderId="0" pivotButton="0" quotePrefix="0" xfId="0"/>
    <xf numFmtId="0" fontId="5" fillId="0" borderId="0" applyAlignment="1" pivotButton="0" quotePrefix="0" xfId="0">
      <alignment vertical="top" wrapText="1"/>
    </xf>
    <xf numFmtId="0" fontId="9" fillId="0" borderId="0" pivotButton="0" quotePrefix="0" xfId="0"/>
    <xf numFmtId="0" fontId="6" fillId="0" borderId="0" pivotButton="0" quotePrefix="0" xfId="0"/>
    <xf numFmtId="0" fontId="5" fillId="0" borderId="0" pivotButton="0" quotePrefix="0" xfId="0"/>
    <xf numFmtId="0" fontId="8" fillId="0" borderId="0" pivotButton="0" quotePrefix="0" xfId="0"/>
    <xf numFmtId="0" fontId="5" fillId="3" borderId="0" pivotButton="0" quotePrefix="0" xfId="0"/>
    <xf numFmtId="0" fontId="2" fillId="0" borderId="0" pivotButton="0" quotePrefix="0" xfId="0"/>
    <xf numFmtId="0" fontId="3" fillId="2" borderId="0" pivotButton="0" quotePrefix="0" xfId="0"/>
    <xf numFmtId="0" fontId="4" fillId="3" borderId="0" pivotButton="0" quotePrefix="0" xfId="0"/>
    <xf numFmtId="0" fontId="0" fillId="3" borderId="0" pivotButton="0" quotePrefix="0" xfId="0"/>
    <xf numFmtId="0" fontId="3" fillId="0" borderId="0" applyAlignment="1" pivotButton="0" quotePrefix="0" xfId="0">
      <alignment vertical="top" wrapText="1"/>
    </xf>
    <xf numFmtId="0" fontId="3" fillId="2" borderId="0" applyAlignment="1" pivotButton="0" quotePrefix="0" xfId="0">
      <alignment horizontal="center"/>
    </xf>
    <xf numFmtId="164" fontId="5" fillId="0" borderId="0" pivotButton="0" quotePrefix="0" xfId="0"/>
    <xf numFmtId="164" fontId="6" fillId="0" borderId="0" pivotButton="0" quotePrefix="0" xfId="0"/>
    <xf numFmtId="165" fontId="6" fillId="0" borderId="0" pivotButton="0" quotePrefix="0" xfId="0"/>
    <xf numFmtId="165" fontId="5" fillId="0" borderId="0" pivotButton="0" quotePrefix="0" xfId="0"/>
    <xf numFmtId="166" fontId="6" fillId="0" borderId="0" pivotButton="0" quotePrefix="0" xfId="0"/>
    <xf numFmtId="166" fontId="5" fillId="0" borderId="0" pivotButton="0" quotePrefix="0" xfId="0"/>
    <xf numFmtId="0" fontId="2" fillId="4" borderId="0" pivotButton="0" quotePrefix="0" xfId="0"/>
    <xf numFmtId="0" fontId="3" fillId="4" borderId="0" pivotButton="0" quotePrefix="0" xfId="0"/>
    <xf numFmtId="0" fontId="0" fillId="4" borderId="0" pivotButton="0" quotePrefix="0" xfId="0"/>
    <xf numFmtId="167" fontId="5" fillId="0" borderId="0" pivotButton="0" quotePrefix="0" xfId="0"/>
    <xf numFmtId="166" fontId="3" fillId="0" borderId="0" pivotButton="0" quotePrefix="0" xfId="0"/>
    <xf numFmtId="166" fontId="7" fillId="0" borderId="0" pivotButton="0" quotePrefix="0" xfId="0"/>
    <xf numFmtId="0" fontId="0" fillId="5" borderId="0" pivotButton="0" quotePrefix="0" xfId="0"/>
    <xf numFmtId="164" fontId="8" fillId="0" borderId="0" pivotButton="0" quotePrefix="0" xfId="0"/>
    <xf numFmtId="166" fontId="8" fillId="0" borderId="0" pivotButton="0" quotePrefix="0" xfId="0"/>
    <xf numFmtId="0" fontId="2" fillId="0" borderId="0" applyAlignment="1" pivotButton="0" quotePrefix="0" xfId="0">
      <alignment horizontal="right"/>
    </xf>
    <xf numFmtId="166" fontId="9" fillId="0" borderId="0" pivotButton="0" quotePrefix="0" xfId="0"/>
    <xf numFmtId="168" fontId="3" fillId="0" borderId="0" pivotButton="0" quotePrefix="0" xfId="0"/>
    <xf numFmtId="169" fontId="6" fillId="0" borderId="0" pivotButton="0" quotePrefix="0" xfId="0"/>
    <xf numFmtId="170" fontId="6" fillId="0" borderId="0" pivotButton="0" quotePrefix="0" xfId="0"/>
    <xf numFmtId="171" fontId="5" fillId="0" borderId="0" pivotButton="0" quotePrefix="0" xfId="0"/>
    <xf numFmtId="165" fontId="3" fillId="0" borderId="0" pivotButton="0" quotePrefix="0" xfId="0"/>
    <xf numFmtId="170" fontId="5" fillId="0" borderId="0" pivotButton="0" quotePrefix="0" xfId="0"/>
    <xf numFmtId="0" fontId="3" fillId="2" borderId="0" applyAlignment="1" pivotButton="0" quotePrefix="0" xfId="0">
      <alignment horizontal="center" wrapText="1"/>
    </xf>
    <xf numFmtId="165" fontId="8" fillId="0" borderId="0" pivotButton="0" quotePrefix="0" xfId="0"/>
    <xf numFmtId="0" fontId="3" fillId="0" borderId="1" pivotButton="0" quotePrefix="0" xfId="0"/>
    <xf numFmtId="166" fontId="3" fillId="0" borderId="1" pivotButton="0" quotePrefix="0" xfId="0"/>
    <xf numFmtId="165" fontId="3" fillId="0" borderId="1" pivotButton="0" quotePrefix="0" xfId="0"/>
    <xf numFmtId="0" fontId="0" fillId="0" borderId="1" pivotButton="0" quotePrefix="0" xfId="0"/>
    <xf numFmtId="170" fontId="8" fillId="0" borderId="0" pivotButton="0" quotePrefix="0" xfId="0"/>
    <xf numFmtId="0" fontId="5" fillId="0" borderId="0" applyAlignment="1" pivotButton="0" quotePrefix="0" xfId="0">
      <alignment horizontal="center"/>
    </xf>
    <xf numFmtId="0" fontId="3" fillId="0" borderId="0" applyAlignment="1" pivotButton="0" quotePrefix="0" xfId="0">
      <alignment horizontal="center"/>
    </xf>
    <xf numFmtId="168" fontId="8" fillId="0" borderId="0" pivotButton="0" quotePrefix="0" xfId="0"/>
    <xf numFmtId="0" fontId="3" fillId="2" borderId="0" applyAlignment="1" pivotButton="0" quotePrefix="0" xfId="0">
      <alignment horizontal="left" vertical="center" wrapText="1"/>
    </xf>
    <xf numFmtId="0" fontId="3" fillId="2" borderId="0" applyAlignment="1" pivotButton="0" quotePrefix="0" xfId="0">
      <alignment horizontal="center" vertical="center" wrapText="1"/>
    </xf>
    <xf numFmtId="0" fontId="5" fillId="0" borderId="0" applyAlignment="1" pivotButton="0" quotePrefix="0" xfId="0">
      <alignment horizontal="left" vertical="top" wrapText="1"/>
    </xf>
    <xf numFmtId="166" fontId="5" fillId="0" borderId="0" applyAlignment="1" pivotButton="0" quotePrefix="0" xfId="0">
      <alignment horizontal="right" vertical="top" wrapText="1"/>
    </xf>
    <xf numFmtId="165" fontId="5" fillId="0" borderId="0" applyAlignment="1" pivotButton="0" quotePrefix="0" xfId="0">
      <alignment horizontal="right" vertical="top" wrapText="1"/>
    </xf>
    <xf numFmtId="0" fontId="3" fillId="2" borderId="0" applyAlignment="1" pivotButton="0" quotePrefix="0" xfId="0">
      <alignment vertical="center" wrapText="1"/>
    </xf>
    <xf numFmtId="164" fontId="5" fillId="0" borderId="0" applyAlignment="1" pivotButton="0" quotePrefix="0" xfId="0">
      <alignment horizontal="righ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Signet Baseline Company Value by Business Segment ($M)</a:t>
            </a:r>
          </a:p>
        </rich>
      </tx>
    </title>
    <plotArea>
      <barChart>
        <barDir val="col"/>
        <grouping val="clustered"/>
        <ser>
          <idx val="0"/>
          <order val="0"/>
          <tx>
            <strRef>
              <f>'Summary &amp; Chart'!C4</f>
            </strRef>
          </tx>
          <spPr>
            <a:ln xmlns:a="http://schemas.openxmlformats.org/drawingml/2006/main">
              <a:prstDash val="solid"/>
            </a:ln>
          </spPr>
          <cat>
            <numRef>
              <f>'Summary &amp; Chart'!$B$5:$B$8</f>
            </numRef>
          </cat>
          <val>
            <numRef>
              <f>'Summary &amp; Chart'!$C$5:$C$8</f>
            </numRef>
          </val>
        </ser>
        <dLbls>
          <numFmt formatCode="#,##0"/>
          <showLegendKey val="0"/>
          <showVal val="1"/>
          <showCatName val="0"/>
          <showSerName val="0"/>
          <showPercent val="0"/>
          <showBubbleSize val="0"/>
          <showLeaderLines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 millions</a:t>
                </a:r>
              </a:p>
            </rich>
          </tx>
        </title>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Projected Total Company Sales and Net Income ($M)</a:t>
            </a:r>
          </a:p>
        </rich>
      </tx>
    </title>
    <plotArea>
      <lineChart>
        <grouping val="standard"/>
        <ser>
          <idx val="0"/>
          <order val="0"/>
          <tx>
            <strRef>
              <f>'Summary &amp; Chart'!B15</f>
            </strRef>
          </tx>
          <spPr>
            <a:ln xmlns:a="http://schemas.openxmlformats.org/drawingml/2006/main">
              <a:prstDash val="solid"/>
            </a:ln>
          </spPr>
          <marker>
            <symbol val="none"/>
            <spPr>
              <a:ln xmlns:a="http://schemas.openxmlformats.org/drawingml/2006/main">
                <a:prstDash val="solid"/>
              </a:ln>
            </spPr>
          </marker>
          <cat>
            <numRef>
              <f>'Summary &amp; Chart'!$C$14:$M$14</f>
            </numRef>
          </cat>
          <val>
            <numRef>
              <f>'Summary &amp; Chart'!$C$15:$M$15</f>
            </numRef>
          </val>
        </ser>
        <ser>
          <idx val="1"/>
          <order val="1"/>
          <tx>
            <strRef>
              <f>'Summary &amp; Chart'!B16</f>
            </strRef>
          </tx>
          <spPr>
            <a:ln xmlns:a="http://schemas.openxmlformats.org/drawingml/2006/main">
              <a:prstDash val="solid"/>
            </a:ln>
          </spPr>
          <marker>
            <symbol val="none"/>
            <spPr>
              <a:ln xmlns:a="http://schemas.openxmlformats.org/drawingml/2006/main">
                <a:prstDash val="solid"/>
              </a:ln>
            </spPr>
          </marker>
          <cat>
            <numRef>
              <f>'Summary &amp; Chart'!$C$14:$M$14</f>
            </numRef>
          </cat>
          <val>
            <numRef>
              <f>'Summary &amp; Chart'!$C$16:$M$16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millions</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3</row>
      <rowOff>0</rowOff>
    </from>
    <ext cx="64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19</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1:C34"/>
  <sheetViews>
    <sheetView workbookViewId="0">
      <selection activeCell="A1" sqref="A1"/>
    </sheetView>
  </sheetViews>
  <sheetFormatPr baseColWidth="8" defaultRowHeight="15"/>
  <cols>
    <col width="3" customWidth="1" min="1" max="1"/>
    <col width="26" customWidth="1" min="2" max="2"/>
    <col width="120" customWidth="1" min="3" max="3"/>
  </cols>
  <sheetData>
    <row r="1">
      <c r="B1" s="1" t="inlineStr">
        <is>
          <t>Signet Jewelers Limited (NYSE: SIG)</t>
        </is>
      </c>
    </row>
    <row r="2">
      <c r="B2" s="2" t="inlineStr">
        <is>
          <t>Baseline Value-Based ERM Model - Case Assignment #3(a)</t>
        </is>
      </c>
    </row>
    <row r="4">
      <c r="B4" s="3" t="inlineStr">
        <is>
          <t>Course</t>
        </is>
      </c>
      <c r="C4" s="4" t="inlineStr">
        <is>
          <t>Columbia University ERMC PS5900 Capstone, Fall 2026 - Case Assignment #3(a): Baseline value-based ERM model</t>
        </is>
      </c>
    </row>
    <row r="5">
      <c r="B5" s="3" t="inlineStr">
        <is>
          <t>Team</t>
        </is>
      </c>
      <c r="C5" s="4" t="inlineStr">
        <is>
          <t>Case Team #2: Meher Jain, Zainab Razzaque, Stanley Weng, Jana Chamsi Bacha, Anderson Chan</t>
        </is>
      </c>
    </row>
    <row r="6">
      <c r="B6" s="3" t="inlineStr">
        <is>
          <t>Deliverable date</t>
        </is>
      </c>
      <c r="C6" s="4" t="inlineStr">
        <is>
          <t>October 13, 2026  (due Monday, October 19, 2026, 11pm ET (day before Session 7))</t>
        </is>
      </c>
    </row>
    <row r="7">
      <c r="B7" s="3" t="inlineStr">
        <is>
          <t>Model units</t>
        </is>
      </c>
      <c r="C7" s="4" t="inlineStr">
        <is>
          <t>$ millions to one decimal; rates to 0.1%; store counts in units; fiscal years end about January 31 (FY2026A = actual year ended January 31, 2026; FY2027-FY2036 = ten projected years).</t>
        </is>
      </c>
    </row>
    <row r="8">
      <c r="B8" s="3" t="inlineStr">
        <is>
          <t>Valuation approach</t>
        </is>
      </c>
      <c r="C8" s="4" t="inlineStr">
        <is>
          <t>Profits released: each segment distributes 100% of net income to shareholders every year, so the simplified balance sheet is static, and segment value = NPV at the segment cost of equity of FY2027-FY2036 distributable cash flows plus the present value of terminal equity (= FY2036 shareholders' equity). Company value is the sum of the three segment values; the choice is justified because Signet's dividends plus buybacks have run at roughly 85-110% of underlying earnings (FY2026: $257M vs $294M net income; H1 FY2027: $197M vs about $84M).</t>
        </is>
      </c>
    </row>
    <row r="9"/>
    <row r="10">
      <c r="B10" s="3" t="inlineStr">
        <is>
          <t>Model integrity status</t>
        </is>
      </c>
      <c r="C10" s="5">
        <f>IF('Checks'!C38,"ALL CHECKS PASS","CHECK FAILURES - see Checks tab")</f>
        <v/>
      </c>
    </row>
    <row r="11"/>
    <row r="12">
      <c r="B12" s="3" t="inlineStr">
        <is>
          <t>Colour legend</t>
        </is>
      </c>
    </row>
    <row r="13">
      <c r="B13" s="6" t="inlineStr">
        <is>
          <t>Blue font</t>
        </is>
      </c>
      <c r="C13" s="7" t="inlineStr">
        <is>
          <t>Hard-coded input (assumption, FY2026A actual or snapshot)</t>
        </is>
      </c>
    </row>
    <row r="14">
      <c r="B14" s="7" t="inlineStr">
        <is>
          <t>Black font</t>
        </is>
      </c>
      <c r="C14" s="7" t="inlineStr">
        <is>
          <t>Formula within the tab</t>
        </is>
      </c>
    </row>
    <row r="15">
      <c r="B15" s="8" t="inlineStr">
        <is>
          <t>Green font</t>
        </is>
      </c>
      <c r="C15" s="7" t="inlineStr">
        <is>
          <t>Link to another tab</t>
        </is>
      </c>
    </row>
    <row r="16">
      <c r="B16" s="9" t="inlineStr">
        <is>
          <t>Light-blue fill</t>
        </is>
      </c>
      <c r="C16" s="7" t="inlineStr">
        <is>
          <t>Section header; grey fill = sub-header; grey cells on the Total tab = intentionally blank assumptions</t>
        </is>
      </c>
    </row>
    <row r="17"/>
    <row r="18">
      <c r="B18" s="3" t="inlineStr">
        <is>
          <t>Tab map</t>
        </is>
      </c>
    </row>
    <row r="19">
      <c r="B19" s="7" t="inlineStr">
        <is>
          <t>Cover</t>
        </is>
      </c>
      <c r="C19" s="4" t="inlineStr">
        <is>
          <t>This page.</t>
        </is>
      </c>
    </row>
    <row r="20">
      <c r="B20" s="7" t="inlineStr">
        <is>
          <t>Assumptions &amp; Sources</t>
        </is>
      </c>
      <c r="C20" s="4" t="inlineStr">
        <is>
          <t>Every baseline assumption with value, rationale and APA source; reclassifications; questions for the lecturer/TAs; limitations; reference list.</t>
        </is>
      </c>
    </row>
    <row r="21">
      <c r="B21" s="7" t="inlineStr">
        <is>
          <t>Model - NA</t>
        </is>
      </c>
      <c r="C21" s="4" t="inlineStr">
        <is>
          <t>North America segment: baseline assumptions -&gt; shock -&gt; scenario -&gt; projection, valuation and balance sheet. North America reportable segment: Kay, Zales, Jared, Diamonds Direct, Banter by Piercing Pagoda, Rocksbox, the digital brands James Allen and Blue Nile, and Peoples Jewellers (Canada).</t>
        </is>
      </c>
    </row>
    <row r="22">
      <c r="B22" s="7" t="inlineStr">
        <is>
          <t>Model - INTL</t>
        </is>
      </c>
      <c r="C22" s="4" t="inlineStr">
        <is>
          <t>International segment, identical layout. International reportable segment: H.Samuel and Ernest Jones stores and e-commerce in the UK and the Republic of Ireland.</t>
        </is>
      </c>
    </row>
    <row r="23">
      <c r="B23" s="7" t="inlineStr">
        <is>
          <t>Model - OTHER</t>
        </is>
      </c>
      <c r="C23" s="4" t="inlineStr">
        <is>
          <t>Other / corporate, identical layout. 'Other' reportable segment (rough-diamond purchasing and polishing subsidiaries selling to third parties) plus corporate and unallocated costs. No stores, no e-commerce, no services: those rows are kept at zero.</t>
        </is>
      </c>
    </row>
    <row r="24">
      <c r="B24" s="7" t="inlineStr">
        <is>
          <t>Total Company</t>
        </is>
      </c>
      <c r="C24" s="4" t="inlineStr">
        <is>
          <t>Same layout; assumptions blank; every financial line = sum of the three segments; EPS, ROE, payout and the actual-market-valuation check.</t>
        </is>
      </c>
    </row>
    <row r="25">
      <c r="B25" s="7" t="inlineStr">
        <is>
          <t>Summary &amp; Chart</t>
        </is>
      </c>
      <c r="C25" s="4" t="inlineStr">
        <is>
          <t>Segment value table, native chart 'Signet Baseline Company Value by Business Segment ($M)', sales/net income chart, sensitivity table.</t>
        </is>
      </c>
    </row>
    <row r="26">
      <c r="B26" s="7" t="inlineStr">
        <is>
          <t>Checks</t>
        </is>
      </c>
      <c r="C26" s="4" t="inlineStr">
        <is>
          <t>Formula-driven TRUE/FALSE integrity checks feeding the status cell above.</t>
        </is>
      </c>
    </row>
    <row r="27">
      <c r="B27" s="7" t="inlineStr">
        <is>
          <t>Appx A - Summary</t>
        </is>
      </c>
      <c r="C27" s="4" t="inlineStr">
        <is>
          <t>One-page team summary: live key figures, sensitivities, approach, open questions, double-check list.</t>
        </is>
      </c>
    </row>
    <row r="28">
      <c r="B28" s="7" t="inlineStr">
        <is>
          <t>Appx B - Design Memo</t>
        </is>
      </c>
      <c r="C28" s="4" t="inlineStr">
        <is>
          <t>The design decisions behind the model (segment structure, drivers, valuation approach, discount rate).</t>
        </is>
      </c>
    </row>
    <row r="29">
      <c r="B29" s="7" t="inlineStr">
        <is>
          <t>Appx C - Research Notes</t>
        </is>
      </c>
      <c r="C29" s="4" t="inlineStr">
        <is>
          <t>Data pulled for the model with APA 7th citations and the full reference list.</t>
        </is>
      </c>
    </row>
    <row r="30">
      <c r="B30" s="7" t="inlineStr">
        <is>
          <t>Appx D - Data</t>
        </is>
      </c>
      <c r="C30" s="4" t="inlineStr">
        <is>
          <t>Every extracted data table (segments, income statement, balance sheet, capital return, KPIs, guidance, market, macro, calibration) with source IDs and confidence flags.</t>
        </is>
      </c>
    </row>
    <row r="31"/>
    <row r="32">
      <c r="B32" s="3" t="inlineStr">
        <is>
          <t>Row layout</t>
        </is>
      </c>
      <c r="C32" s="4" t="inlineStr">
        <is>
          <t>All four model tabs share one row layout: baseline assumptions rows 6-20, shocks rows 23-37, scenario rows 40-54, projection rows 58-112 (total sales row 70, operating income row 80, net income row 87, segment value rows 98-101, equity row 110). Risk tabs in 3(d) can therefore reference the same cells across segments.</t>
        </is>
      </c>
    </row>
    <row r="33"/>
    <row r="34">
      <c r="B34" s="3" t="inlineStr">
        <is>
          <t>Reproducibility</t>
        </is>
      </c>
      <c r="C34" s="4" t="inlineStr">
        <is>
          <t>Generated by build/build_model.py (openpyxl); all inputs are in one dictionary at the top of that script with the source beside each. The workbook contains live Excel formulas only (no macros, no external links). Excel recalculates on open.</t>
        </is>
      </c>
    </row>
  </sheetData>
  <conditionalFormatting sqref="C10">
    <cfRule type="cellIs" priority="1" operator="equal" dxfId="0">
      <formula>"ALL CHECKS PASS"</formula>
    </cfRule>
    <cfRule type="cellIs" priority="2" operator="notEqual" dxfId="1">
      <formula>"ALL CHECKS PASS"</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G86"/>
  <sheetViews>
    <sheetView workbookViewId="0">
      <pane ySplit="4" topLeftCell="A5" activePane="bottomLeft" state="frozen"/>
      <selection pane="bottomLeft" activeCell="A1" sqref="A1"/>
    </sheetView>
  </sheetViews>
  <sheetFormatPr baseColWidth="8" defaultRowHeight="15"/>
  <cols>
    <col width="4" customWidth="1" min="1" max="1"/>
    <col width="16" customWidth="1" min="2" max="2"/>
    <col width="36" customWidth="1" min="3" max="3"/>
    <col width="12" customWidth="1" min="4" max="4"/>
    <col width="34" customWidth="1" min="5" max="5"/>
    <col width="90" customWidth="1" min="6" max="6"/>
    <col width="42" customWidth="1" min="7" max="7"/>
  </cols>
  <sheetData>
    <row r="1">
      <c r="A1" s="1" t="inlineStr">
        <is>
          <t>Baseline assumptions, rationale and sources</t>
        </is>
      </c>
    </row>
    <row r="2">
      <c r="A2" s="10" t="inlineStr">
        <is>
          <t>One row per assumption. Values are repeated in blue on the model tabs; this tab is documentation (no model formulas depend on it). APA 7th in-text citations; full reference list at the bottom.</t>
        </is>
      </c>
    </row>
    <row r="4">
      <c r="A4" s="11" t="inlineStr">
        <is>
          <t>#</t>
        </is>
      </c>
      <c r="B4" s="11" t="inlineStr">
        <is>
          <t>Group</t>
        </is>
      </c>
      <c r="C4" s="11" t="inlineStr">
        <is>
          <t>Assumption</t>
        </is>
      </c>
      <c r="D4" s="11" t="inlineStr">
        <is>
          <t>Segment(s)</t>
        </is>
      </c>
      <c r="E4" s="11" t="inlineStr">
        <is>
          <t>Value(s) by year or rule</t>
        </is>
      </c>
      <c r="F4" s="11" t="inlineStr">
        <is>
          <t>Rationale</t>
        </is>
      </c>
      <c r="G4" s="11" t="inlineStr">
        <is>
          <t>Source (APA in-text)</t>
        </is>
      </c>
    </row>
    <row r="5">
      <c r="A5" s="4" t="n">
        <v>1</v>
      </c>
      <c r="B5" s="4" t="inlineStr">
        <is>
          <t>Revenue drivers</t>
        </is>
      </c>
      <c r="C5" s="4" t="inlineStr">
        <is>
          <t>Store count roll-forward: gross openings</t>
        </is>
      </c>
      <c r="D5" s="4" t="inlineStr">
        <is>
          <t>NA</t>
        </is>
      </c>
      <c r="E5" s="4" t="inlineStr">
        <is>
          <t>FY27 6; FY28 10; FY29 10; FY30+ 12 per year</t>
        </is>
      </c>
      <c r="F5" s="4" t="inlineStr">
        <is>
          <t>Signet opened 14 stores in FY2026 and only 3 in H1 FY2027 while it reorients toward off-mall formats; openings recover modestly as repositioned stores open.</t>
        </is>
      </c>
      <c r="G5" s="4" t="inlineStr">
        <is>
          <t>Signet Jewelers Limited (2026a, 2026d)</t>
        </is>
      </c>
    </row>
    <row r="6">
      <c r="A6" s="4" t="n">
        <v>2</v>
      </c>
      <c r="B6" s="4" t="inlineStr">
        <is>
          <t>Revenue drivers</t>
        </is>
      </c>
      <c r="C6" s="4" t="inlineStr">
        <is>
          <t>Store count roll-forward: closures</t>
        </is>
      </c>
      <c r="D6" s="4" t="inlineStr">
        <is>
          <t>NA</t>
        </is>
      </c>
      <c r="E6" s="4" t="inlineStr">
        <is>
          <t>FY27 70; FY28 50; FY29 40; FY30 30; FY31 25; FY32+ 20</t>
        </is>
      </c>
      <c r="F6" s="4" t="inlineStr">
        <is>
          <t>64 closures in FY2026 and 50 already in H1 FY2027; management guides to a low-single-digit decline in net square footage. Closures taper as the mall-heavy portion of the fleet shrinks.</t>
        </is>
      </c>
      <c r="G6" s="4" t="inlineStr">
        <is>
          <t>Signet Jewelers Limited (2026a, 2026c, 2026d)</t>
        </is>
      </c>
    </row>
    <row r="7">
      <c r="A7" s="4" t="n">
        <v>3</v>
      </c>
      <c r="B7" s="4" t="inlineStr">
        <is>
          <t>Revenue drivers</t>
        </is>
      </c>
      <c r="C7" s="4" t="inlineStr">
        <is>
          <t>Store count roll-forward</t>
        </is>
      </c>
      <c r="D7" s="4" t="inlineStr">
        <is>
          <t>INTL</t>
        </is>
      </c>
      <c r="E7" s="4" t="inlineStr">
        <is>
          <t>Openings 2 per year; closures 4 (FY27), 5 (FY28-FY31), 4 thereafter</t>
        </is>
      </c>
      <c r="F7" s="4" t="inlineStr">
        <is>
          <t>International closed 10 stores in FY2026 and 3 in H1 FY2027 with 2 openings; a slow net reduction of the UK/ROI estate continues.</t>
        </is>
      </c>
      <c r="G7" s="4" t="inlineStr">
        <is>
          <t>Signet Jewelers Limited (2026a, 2026d)</t>
        </is>
      </c>
    </row>
    <row r="8">
      <c r="A8" s="4" t="n">
        <v>4</v>
      </c>
      <c r="B8" s="4" t="inlineStr">
        <is>
          <t>Revenue drivers</t>
        </is>
      </c>
      <c r="C8" s="4" t="inlineStr">
        <is>
          <t>Store count roll-forward</t>
        </is>
      </c>
      <c r="D8" s="4" t="inlineStr">
        <is>
          <t>OTHER</t>
        </is>
      </c>
      <c r="E8" s="4" t="inlineStr">
        <is>
          <t>Zero stores, openings and closures</t>
        </is>
      </c>
      <c r="F8" s="4" t="inlineStr">
        <is>
          <t>The Other segment and corporate have no retail stores; rows kept at zero per the 'same layout' guideline.</t>
        </is>
      </c>
      <c r="G8" s="4" t="inlineStr">
        <is>
          <t>Signet Jewelers Limited (2026a)</t>
        </is>
      </c>
    </row>
    <row r="9">
      <c r="A9" s="4" t="n">
        <v>5</v>
      </c>
      <c r="B9" s="4" t="inlineStr">
        <is>
          <t>Revenue drivers</t>
        </is>
      </c>
      <c r="C9" s="4" t="inlineStr">
        <is>
          <t>Same-store sales growth (sales per average store)</t>
        </is>
      </c>
      <c r="D9" s="4" t="inlineStr">
        <is>
          <t>NA</t>
        </is>
      </c>
      <c r="E9" s="4" t="inlineStr">
        <is>
          <t>FY27 1.5%; FY28+ 2.0%</t>
        </is>
      </c>
      <c r="F9" s="4" t="inlineStr">
        <is>
          <t>FY2026 NA same-store sales +1.2%, Q2 FY2027 +2.2%, FY2027 guidance flat to +2.5%. Long-run 2.0% is in line with FOMC PCE inflation of 2.1-2.3% and a mature, share-gaining retailer; consensus revenue growth is 1.2-1.6% a year after net closures.</t>
        </is>
      </c>
      <c r="G9" s="4" t="inlineStr">
        <is>
          <t>Signet Jewelers Limited (2026b, 2026c); Board of Governors of the Federal Reserve System (2026b); Yahoo Finance (2026)</t>
        </is>
      </c>
    </row>
    <row r="10">
      <c r="A10" s="4" t="n">
        <v>6</v>
      </c>
      <c r="B10" s="4" t="inlineStr">
        <is>
          <t>Revenue drivers</t>
        </is>
      </c>
      <c r="C10" s="4" t="inlineStr">
        <is>
          <t>Same-store sales growth</t>
        </is>
      </c>
      <c r="D10" s="4" t="inlineStr">
        <is>
          <t>INTL</t>
        </is>
      </c>
      <c r="E10" s="4" t="inlineStr">
        <is>
          <t>2.0% every year</t>
        </is>
      </c>
      <c r="F10" s="4" t="inlineStr">
        <is>
          <t>FY2026 International same-store sales +2.6% (5.3% constant-currency total growth); UK CPI about 3% in early 2027 falling toward 2%; IMF UK GDP 1.3-1.5%.</t>
        </is>
      </c>
      <c r="G10" s="4" t="inlineStr">
        <is>
          <t>Signet Jewelers Limited (2026b); International Monetary Fund (2026a); Vanguard (2026)</t>
        </is>
      </c>
    </row>
    <row r="11">
      <c r="A11" s="4" t="n">
        <v>7</v>
      </c>
      <c r="B11" s="4" t="inlineStr">
        <is>
          <t>Revenue drivers</t>
        </is>
      </c>
      <c r="C11" s="4" t="inlineStr">
        <is>
          <t>E-commerce merchandise sales growth</t>
        </is>
      </c>
      <c r="D11" s="4" t="inlineStr">
        <is>
          <t>NA</t>
        </is>
      </c>
      <c r="E11" s="4" t="inlineStr">
        <is>
          <t>FY27 3.0%; FY28+ 4.0%</t>
        </is>
      </c>
      <c r="F11" s="4" t="inlineStr">
        <is>
          <t>E-commerce is 21.8% of sales. The digital brands (James Allen, Blue Nile, $481.5M) shrank and were impaired in FY2025-26 and are now stabilised under 'Grow Brand Love'; omnichannel growth of the store brands lifts the blended rate slightly above store growth.</t>
        </is>
      </c>
      <c r="G11" s="4" t="inlineStr">
        <is>
          <t>Signet Jewelers Limited (2026a, 2026f)</t>
        </is>
      </c>
    </row>
    <row r="12">
      <c r="A12" s="4" t="n">
        <v>8</v>
      </c>
      <c r="B12" s="4" t="inlineStr">
        <is>
          <t>Revenue drivers</t>
        </is>
      </c>
      <c r="C12" s="4" t="inlineStr">
        <is>
          <t>E-commerce merchandise sales growth</t>
        </is>
      </c>
      <c r="D12" s="4" t="inlineStr">
        <is>
          <t>INTL</t>
        </is>
      </c>
      <c r="E12" s="4" t="inlineStr">
        <is>
          <t>3.0% every year</t>
        </is>
      </c>
      <c r="F12" s="4" t="inlineStr">
        <is>
          <t>H.Samuel and Ernest Jones online growth assumed at nominal UK demand growth.</t>
        </is>
      </c>
      <c r="G12" s="4" t="inlineStr">
        <is>
          <t>Signet Jewelers Limited (2026a)</t>
        </is>
      </c>
    </row>
    <row r="13">
      <c r="A13" s="4" t="n">
        <v>9</v>
      </c>
      <c r="B13" s="4" t="inlineStr">
        <is>
          <t>Revenue drivers</t>
        </is>
      </c>
      <c r="C13" s="4" t="inlineStr">
        <is>
          <t>Services attach rate (% of merchandise sales)</t>
        </is>
      </c>
      <c r="D13" s="4" t="inlineStr">
        <is>
          <t>NA / INTL</t>
        </is>
      </c>
      <c r="E13" s="4" t="inlineStr">
        <is>
          <t>NA 13.6% (FY26A) -&gt; 13.8% (FY27) -&gt; 14.0% (FY28+); INTL 11.1% flat</t>
        </is>
      </c>
      <c r="F13" s="4" t="inlineStr">
        <is>
          <t>Services revenue grew 7.8% to $803.5M in FY2026 on extended-service-plan strength while merchandise was flat, so attach rises modestly then stabilises. International attach set lower (less ESP penetration).</t>
        </is>
      </c>
      <c r="G13" s="4" t="inlineStr">
        <is>
          <t>Signet Jewelers Limited (2026a, 2026b)</t>
        </is>
      </c>
    </row>
    <row r="14">
      <c r="A14" s="4" t="n">
        <v>10</v>
      </c>
      <c r="B14" s="4" t="inlineStr">
        <is>
          <t>Revenue drivers</t>
        </is>
      </c>
      <c r="C14" s="4" t="inlineStr">
        <is>
          <t>Other (diamond sourcing) revenue growth</t>
        </is>
      </c>
      <c r="D14" s="4" t="inlineStr">
        <is>
          <t>OTHER</t>
        </is>
      </c>
      <c r="E14" s="4" t="inlineStr">
        <is>
          <t>2.0% every year</t>
        </is>
      </c>
      <c r="F14" s="4" t="inlineStr">
        <is>
          <t>Third-party rough/polished diamond sales ($39.6M) grow with inflation; natural-diamond price weakness caps upside.</t>
        </is>
      </c>
      <c r="G14" s="4" t="inlineStr">
        <is>
          <t>Signet Jewelers Limited (2026a)</t>
        </is>
      </c>
    </row>
    <row r="15">
      <c r="A15" s="4" t="n">
        <v>11</v>
      </c>
      <c r="B15" s="4" t="inlineStr">
        <is>
          <t>Expense drivers</t>
        </is>
      </c>
      <c r="C15" s="4" t="inlineStr">
        <is>
          <t>Cost of sales % of total sales</t>
        </is>
      </c>
      <c r="D15" s="4" t="inlineStr">
        <is>
          <t>NA</t>
        </is>
      </c>
      <c r="E15" s="4" t="inlineStr">
        <is>
          <t>FY26A 59.8% -&gt; 59.3% from FY27</t>
        </is>
      </c>
      <c r="F15" s="4" t="inlineStr">
        <is>
          <t>Consolidated gross margin was 39.5% (39.2% FY25). The new Bread Financial credit agreement adds $30-40M of margin/non-comp revenue from FY2027 (about 0.5pp of NA sales); gold-cost and tariff headwinds assumed to offset the services mix benefit thereafter.</t>
        </is>
      </c>
      <c r="G15" s="4" t="inlineStr">
        <is>
          <t>Signet Jewelers Limited (2026a, 2026c); CNBC (2026)</t>
        </is>
      </c>
    </row>
    <row r="16">
      <c r="A16" s="4" t="n">
        <v>12</v>
      </c>
      <c r="B16" s="4" t="inlineStr">
        <is>
          <t>Expense drivers</t>
        </is>
      </c>
      <c r="C16" s="4" t="inlineStr">
        <is>
          <t>Cost of sales % of total sales</t>
        </is>
      </c>
      <c r="D16" s="4" t="inlineStr">
        <is>
          <t>INTL</t>
        </is>
      </c>
      <c r="E16" s="4" t="inlineStr">
        <is>
          <t>68.0% flat</t>
        </is>
      </c>
      <c r="F16" s="4" t="inlineStr">
        <is>
          <t>International gross margin estimated at 32% (FY2025 implied about 30% from segment SG&amp;A of $103.1M and operating income of $1.0M incl. $7.8M one-offs); UK fashion/watch mix is lower-margin than NA bridal.</t>
        </is>
      </c>
      <c r="G16" s="4" t="inlineStr">
        <is>
          <t>Signet Jewelers Limited (2025a, 2026b)</t>
        </is>
      </c>
    </row>
    <row r="17">
      <c r="A17" s="4" t="n">
        <v>13</v>
      </c>
      <c r="B17" s="4" t="inlineStr">
        <is>
          <t>Expense drivers</t>
        </is>
      </c>
      <c r="C17" s="4" t="inlineStr">
        <is>
          <t>Cost of sales % of total sales</t>
        </is>
      </c>
      <c r="D17" s="4" t="inlineStr">
        <is>
          <t>OTHER</t>
        </is>
      </c>
      <c r="E17" s="4" t="inlineStr">
        <is>
          <t>92.0% flat</t>
        </is>
      </c>
      <c r="F17" s="4" t="inlineStr">
        <is>
          <t>Diamond trading is a low-margin pass-through activity.</t>
        </is>
      </c>
      <c r="G17" s="4" t="inlineStr">
        <is>
          <t>Team estimate</t>
        </is>
      </c>
    </row>
    <row r="18">
      <c r="A18" s="4" t="n">
        <v>14</v>
      </c>
      <c r="B18" s="4" t="inlineStr">
        <is>
          <t>Expense drivers</t>
        </is>
      </c>
      <c r="C18" s="4" t="inlineStr">
        <is>
          <t>Variable SG&amp;A % of sales</t>
        </is>
      </c>
      <c r="D18" s="4" t="inlineStr">
        <is>
          <t>NA / INTL / OTHER</t>
        </is>
      </c>
      <c r="E18" s="4" t="inlineStr">
        <is>
          <t>NA 20.0%; INTL 15.0%; OTHER 0%</t>
        </is>
      </c>
      <c r="F18" s="4" t="inlineStr">
        <is>
          <t>Store payroll, advertising and credit costs move with sales; the remainder of FY2026 SG&amp;A (NA $731.5M, INTL $51.4M, corporate $56.0M) is treated as fixed. Split is a team estimate consistent with Session 6 'marginal vs fixed' guidance.</t>
        </is>
      </c>
      <c r="G18" s="4" t="inlineStr">
        <is>
          <t>Signet Jewelers Limited (2026a); Columbia University Capstone (2026b)</t>
        </is>
      </c>
    </row>
    <row r="19">
      <c r="A19" s="4" t="n">
        <v>15</v>
      </c>
      <c r="B19" s="4" t="inlineStr">
        <is>
          <t>Expense drivers</t>
        </is>
      </c>
      <c r="C19" s="4" t="inlineStr">
        <is>
          <t>Fixed SG&amp;A inflation</t>
        </is>
      </c>
      <c r="D19" s="4" t="inlineStr">
        <is>
          <t>NA / OTHER</t>
        </is>
      </c>
      <c r="E19" s="4" t="inlineStr">
        <is>
          <t>2.5% (FY27), 2.3% (FY28), 2.1% (FY29), 2.0% thereafter</t>
        </is>
      </c>
      <c r="F19" s="4" t="inlineStr">
        <is>
          <t>FOMC median PCE inflation 3.7% (2026), 2.3% (2027), 2.1% (2028), 2.0% long run; FY2026 SG&amp;A growth was inflated by an incentive-compensation reset that is not repeated.</t>
        </is>
      </c>
      <c r="G19" s="4" t="inlineStr">
        <is>
          <t>Board of Governors of the Federal Reserve System (2026b); Signet Jewelers Limited (2026a)</t>
        </is>
      </c>
    </row>
    <row r="20">
      <c r="A20" s="4" t="n">
        <v>16</v>
      </c>
      <c r="B20" s="4" t="inlineStr">
        <is>
          <t>Expense drivers</t>
        </is>
      </c>
      <c r="C20" s="4" t="inlineStr">
        <is>
          <t>Fixed SG&amp;A inflation</t>
        </is>
      </c>
      <c r="D20" s="4" t="inlineStr">
        <is>
          <t>INTL</t>
        </is>
      </c>
      <c r="E20" s="4" t="inlineStr">
        <is>
          <t>3.0% (FY27), 2.5% (FY28), 2.0% thereafter</t>
        </is>
      </c>
      <c r="F20" s="4" t="inlineStr">
        <is>
          <t>UK CPI about 3% in early 2027 falling toward 1.7-2% by 2028.</t>
        </is>
      </c>
      <c r="G20" s="4" t="inlineStr">
        <is>
          <t>Vanguard (2026)</t>
        </is>
      </c>
    </row>
    <row r="21">
      <c r="A21" s="4" t="n">
        <v>17</v>
      </c>
      <c r="B21" s="4" t="inlineStr">
        <is>
          <t>Expense drivers</t>
        </is>
      </c>
      <c r="C21" s="4" t="inlineStr">
        <is>
          <t>Cost-savings initiatives</t>
        </is>
      </c>
      <c r="D21" s="4" t="inlineStr">
        <is>
          <t>All</t>
        </is>
      </c>
      <c r="E21" s="4" t="inlineStr">
        <is>
          <t>0 in every year</t>
        </is>
      </c>
      <c r="F21" s="4" t="inlineStr">
        <is>
          <t>No quantified savings programme is disclosed; the row is kept so that 3(d) scenarios can model restructuring responses.</t>
        </is>
      </c>
      <c r="G21" s="4" t="inlineStr">
        <is>
          <t>Signet Jewelers Limited (2026a)</t>
        </is>
      </c>
    </row>
    <row r="22">
      <c r="A22" s="4" t="n">
        <v>18</v>
      </c>
      <c r="B22" s="4" t="inlineStr">
        <is>
          <t>Expense drivers</t>
        </is>
      </c>
      <c r="C22" s="4" t="inlineStr">
        <is>
          <t>Other operating income/(expense), one-time</t>
        </is>
      </c>
      <c r="D22" s="4" t="inlineStr">
        <is>
          <t>NA</t>
        </is>
      </c>
      <c r="E22" s="4" t="inlineStr">
        <is>
          <t>+$30M in FY27; 0 thereafter</t>
        </is>
      </c>
      <c r="F22" s="4" t="inlineStr">
        <is>
          <t>Management expects about $30M of IEEPA tariff refunds in FY2027 ($20M received by Q2); no further impairments or restructuring assumed in the baseline.</t>
        </is>
      </c>
      <c r="G22" s="4" t="inlineStr">
        <is>
          <t>Signet Jewelers Limited (2026d); CNBC (2026)</t>
        </is>
      </c>
    </row>
    <row r="23">
      <c r="A23" s="4" t="n">
        <v>19</v>
      </c>
      <c r="B23" s="4" t="inlineStr">
        <is>
          <t>Interest</t>
        </is>
      </c>
      <c r="C23" s="4" t="inlineStr">
        <is>
          <t>Net yield on invested assets</t>
        </is>
      </c>
      <c r="D23" s="4" t="inlineStr">
        <is>
          <t>All</t>
        </is>
      </c>
      <c r="E23" s="4" t="inlineStr">
        <is>
          <t>0.7% of prior-year cash</t>
        </is>
      </c>
      <c r="F23" s="4" t="inlineStr">
        <is>
          <t>Calibrated: net interest income was only $4.0M in FY2026 and $9.8M in FY2025 on $600-900M of cash because much of the balance is operating float and fees offset income. Conservative versus a 4-5% money-market yield.</t>
        </is>
      </c>
      <c r="G23" s="4" t="inlineStr">
        <is>
          <t>Signet Jewelers Limited (2026b)</t>
        </is>
      </c>
    </row>
    <row r="24">
      <c r="A24" s="4" t="n">
        <v>20</v>
      </c>
      <c r="B24" s="4" t="inlineStr">
        <is>
          <t>Interest</t>
        </is>
      </c>
      <c r="C24" s="4" t="inlineStr">
        <is>
          <t>Interest rate on debt</t>
        </is>
      </c>
      <c r="D24" s="4" t="inlineStr">
        <is>
          <t>All</t>
        </is>
      </c>
      <c r="E24" s="4" t="inlineStr">
        <is>
          <t>6.5% of prior-year debt</t>
        </is>
      </c>
      <c r="F24" s="4" t="inlineStr">
        <is>
          <t>No funded debt at FY2026A; rate reflects SOFR about 4% plus an ABL spread, kept for liquidity/interest-rate shocks.</t>
        </is>
      </c>
      <c r="G24" s="4" t="inlineStr">
        <is>
          <t>Signet Jewelers Limited (2026a); Board of Governors of the Federal Reserve System (2026b)</t>
        </is>
      </c>
    </row>
    <row r="25">
      <c r="A25" s="4" t="n">
        <v>21</v>
      </c>
      <c r="B25" s="4" t="inlineStr">
        <is>
          <t>Tax</t>
        </is>
      </c>
      <c r="C25" s="4" t="inlineStr">
        <is>
          <t>Effective income tax rate</t>
        </is>
      </c>
      <c r="D25" s="4" t="inlineStr">
        <is>
          <t>NA / OTHER</t>
        </is>
      </c>
      <c r="E25" s="4" t="inlineStr">
        <is>
          <t>24.0%</t>
        </is>
      </c>
      <c r="F25" s="4" t="inlineStr">
        <is>
          <t>FY2027 guidance 23-25% excluding discrete items; FY2026 actual 26.0% included discrete items.</t>
        </is>
      </c>
      <c r="G25" s="4" t="inlineStr">
        <is>
          <t>Signet Jewelers Limited (2026b, 2026c)</t>
        </is>
      </c>
    </row>
    <row r="26">
      <c r="A26" s="4" t="n">
        <v>22</v>
      </c>
      <c r="B26" s="4" t="inlineStr">
        <is>
          <t>Tax</t>
        </is>
      </c>
      <c r="C26" s="4" t="inlineStr">
        <is>
          <t>Effective income tax rate</t>
        </is>
      </c>
      <c r="D26" s="4" t="inlineStr">
        <is>
          <t>INTL</t>
        </is>
      </c>
      <c r="E26" s="4" t="inlineStr">
        <is>
          <t>25.0%</t>
        </is>
      </c>
      <c r="F26" s="4" t="inlineStr">
        <is>
          <t>UK corporation tax main rate 25%.</t>
        </is>
      </c>
      <c r="G26" s="4" t="inlineStr">
        <is>
          <t>Team assumption</t>
        </is>
      </c>
    </row>
    <row r="27">
      <c r="A27" s="4" t="n">
        <v>23</v>
      </c>
      <c r="B27" s="4" t="inlineStr">
        <is>
          <t>Discount rate</t>
        </is>
      </c>
      <c r="C27" s="4" t="inlineStr">
        <is>
          <t>Cost of equity (CAPM)</t>
        </is>
      </c>
      <c r="D27" s="4" t="inlineStr">
        <is>
          <t>NA / OTHER</t>
        </is>
      </c>
      <c r="E27" s="4" t="inlineStr">
        <is>
          <t>10.5% = 5.24% + 1.25 x 4.20%</t>
        </is>
      </c>
      <c r="F27" s="4" t="inlineStr">
        <is>
          <t>Risk-free: 10-year Treasury 5.24% (Oct 9, 2026). Beta 1.25 = midpoint of published betas (1.10 MarketBeat, 1.12 Google, 1.44 Motley Fool). Implied ERP 4.20% (Damodaran, Oct 1, 2026). No sell-side WACC retrievable; 10.5% sits inside the 9-12% band typical for specialty retail.</t>
        </is>
      </c>
      <c r="G27" s="4" t="inlineStr">
        <is>
          <t>Board of Governors of the Federal Reserve System (2026a); Damodaran (2026); MarketBeat (2026); Google Finance (2026); The Motley Fool (2026)</t>
        </is>
      </c>
    </row>
    <row r="28">
      <c r="A28" s="4" t="n">
        <v>24</v>
      </c>
      <c r="B28" s="4" t="inlineStr">
        <is>
          <t>Discount rate</t>
        </is>
      </c>
      <c r="C28" s="4" t="inlineStr">
        <is>
          <t>Cost of equity (CAPM) + premium</t>
        </is>
      </c>
      <c r="D28" s="4" t="inlineStr">
        <is>
          <t>INTL</t>
        </is>
      </c>
      <c r="E28" s="4" t="inlineStr">
        <is>
          <t>12.0% (= 10.5% + 1.5pp)</t>
        </is>
      </c>
      <c r="F28" s="4" t="inlineStr">
        <is>
          <t>Premium for small scale, weak UK demand, GBP exposure and history of near-zero segment profit.</t>
        </is>
      </c>
      <c r="G28" s="4" t="inlineStr">
        <is>
          <t>Team assumption; Signet Jewelers Limited (2025a)</t>
        </is>
      </c>
    </row>
    <row r="29">
      <c r="A29" s="4" t="n">
        <v>25</v>
      </c>
      <c r="B29" s="4" t="inlineStr">
        <is>
          <t>Balance sheet</t>
        </is>
      </c>
      <c r="C29" s="4" t="inlineStr">
        <is>
          <t>Simplified cash-basis balance sheet</t>
        </is>
      </c>
      <c r="D29" s="4" t="inlineStr">
        <is>
          <t>All</t>
        </is>
      </c>
      <c r="E29" s="4" t="inlineStr">
        <is>
          <t>Cash 874.8; inventory 1,940.1; debt 0; other liabilities (net) 848.7 plug; equity 1,966.2</t>
        </is>
      </c>
      <c r="F29" s="4" t="inlineStr">
        <is>
          <t>Per Session 5, non-cash items (D&amp;A, receivables, payables, leases, goodwill, intangibles, deferred revenue) are excluded. Inventory is kept as a non-depreciating operating asset. The single 'other liabilities, net' line calibrates simplified equity to reported shareholders' equity so the terminal value equals book equity.</t>
        </is>
      </c>
      <c r="G29" s="4" t="inlineStr">
        <is>
          <t>Signet Jewelers Limited (2026a, 2026b); Columbia University Capstone (2026a)</t>
        </is>
      </c>
    </row>
    <row r="30">
      <c r="A30" s="4" t="n">
        <v>26</v>
      </c>
      <c r="B30" s="4" t="inlineStr">
        <is>
          <t>Balance sheet</t>
        </is>
      </c>
      <c r="C30" s="4" t="inlineStr">
        <is>
          <t>Allocation of the balance sheet to segments</t>
        </is>
      </c>
      <c r="D30" s="4" t="inlineStr">
        <is>
          <t>All</t>
        </is>
      </c>
      <c r="E30" s="4" t="inlineStr">
        <is>
          <t>By FY2026 sales share: NA 93.4%, INTL 6.0%, OTHER 0.6%</t>
        </is>
      </c>
      <c r="F30" s="4" t="inlineStr">
        <is>
          <t>Cash is managed centrally and inventory is not disclosed by segment; a sales-share allocation keeps every tab's balance sheet, interest income and terminal equity proportionate to its business. Alternative (all cash in OTHER) noted as a question.</t>
        </is>
      </c>
      <c r="G30" s="4" t="inlineStr">
        <is>
          <t>Team allocation</t>
        </is>
      </c>
    </row>
    <row r="31">
      <c r="A31" s="4" t="n">
        <v>27</v>
      </c>
      <c r="B31" s="4" t="inlineStr">
        <is>
          <t>Market data</t>
        </is>
      </c>
      <c r="C31" s="4" t="inlineStr">
        <is>
          <t>Share price, shares outstanding, market cap</t>
        </is>
      </c>
      <c r="D31" s="4" t="inlineStr">
        <is>
          <t>Total</t>
        </is>
      </c>
      <c r="E31" s="4" t="inlineStr">
        <is>
          <t>$105.22 (Oct 9, 2026); 37.5M shares; $3,945.8M</t>
        </is>
      </c>
      <c r="F31" s="4" t="inlineStr">
        <is>
          <t>Close per Yahoo Finance; share count between MarketBeat (38.3M) and Google Finance (37.3M) after the $125M ASR announced in September 2026.</t>
        </is>
      </c>
      <c r="G31" s="4" t="inlineStr">
        <is>
          <t>Yahoo Finance (2026); MarketBeat (2026); Google Finance (2026); Signet Jewelers Limited (2026c)</t>
        </is>
      </c>
    </row>
    <row r="32">
      <c r="A32" s="4" t="n">
        <v>28</v>
      </c>
      <c r="B32" s="4" t="inlineStr">
        <is>
          <t>Market data</t>
        </is>
      </c>
      <c r="C32" s="4" t="inlineStr">
        <is>
          <t>Diluted shares for EPS</t>
        </is>
      </c>
      <c r="D32" s="4" t="inlineStr">
        <is>
          <t>Total</t>
        </is>
      </c>
      <c r="E32" s="4" t="inlineStr">
        <is>
          <t>41.6M (FY26A implied); 38.8M (FY27 guidance); flat thereafter</t>
        </is>
      </c>
      <c r="F32" s="4" t="inlineStr">
        <is>
          <t>Buybacks are distributions in this model, so the share count is not reduced further; EPS is therefore conservative in later years.</t>
        </is>
      </c>
      <c r="G32" s="4" t="inlineStr">
        <is>
          <t>Signet Jewelers Limited (2026b, 2026c)</t>
        </is>
      </c>
    </row>
    <row r="33">
      <c r="A33" s="4" t="n">
        <v>29</v>
      </c>
      <c r="B33" s="4" t="inlineStr">
        <is>
          <t>Horizon</t>
        </is>
      </c>
      <c r="C33" s="4" t="inlineStr">
        <is>
          <t>Projection horizon and terminal value</t>
        </is>
      </c>
      <c r="D33" s="4" t="inlineStr">
        <is>
          <t>All</t>
        </is>
      </c>
      <c r="E33" s="4" t="inlineStr">
        <is>
          <t>FY2027-FY2036 (10 years); terminal value = FY2036 equity</t>
        </is>
      </c>
      <c r="F33" s="4" t="inlineStr">
        <is>
          <t>Ten years reduces the weight of the terminal value (Session 6); terminal value = equity at end of projection is the 'simplest terminal value' recommended in class.</t>
        </is>
      </c>
      <c r="G33" s="4" t="inlineStr">
        <is>
          <t>Columbia University Capstone (2026b)</t>
        </is>
      </c>
    </row>
    <row r="34">
      <c r="A34" s="4" t="n">
        <v>30</v>
      </c>
      <c r="B34" s="4" t="inlineStr">
        <is>
          <t>Valuation</t>
        </is>
      </c>
      <c r="C34" s="4" t="inlineStr">
        <is>
          <t>Profits released vs. profits retained</t>
        </is>
      </c>
      <c r="D34" s="4" t="inlineStr">
        <is>
          <t>All</t>
        </is>
      </c>
      <c r="E34" s="4" t="inlineStr">
        <is>
          <t>Profits released</t>
        </is>
      </c>
      <c r="F34" s="4" t="inlineStr">
        <is>
          <t>Dividends plus buybacks: FY2026 $257.1M vs net income $294.4M (87%); H1 FY2027 $196.7M vs about $84M; $125M ASR added. Distributing all earnings is the closer approximation of Signet's behaviour; equity roll-forward holds in every tab (Checks).</t>
        </is>
      </c>
      <c r="G34" s="4" t="inlineStr">
        <is>
          <t>Signet Jewelers Limited (2026b, 2026c, 2026d); Columbia University Capstone (2026a)</t>
        </is>
      </c>
    </row>
    <row r="36">
      <c r="A36" s="12" t="inlineStr">
        <is>
          <t>Reclassifications and FY2026A calibration (how the 'Last Yr' column was built)</t>
        </is>
      </c>
      <c r="B36" s="13" t="n"/>
      <c r="C36" s="13" t="n"/>
      <c r="D36" s="13" t="n"/>
      <c r="E36" s="13" t="n"/>
      <c r="F36" s="13" t="n"/>
      <c r="G36" s="13" t="n"/>
    </row>
    <row r="37" ht="15" customHeight="1">
      <c r="B37" s="14" t="inlineStr">
        <is>
          <t>Segment sales</t>
        </is>
      </c>
      <c r="C37" s="4" t="inlineStr">
        <is>
          <t>NA 6,363.6 = consolidated 6,813.6 less International 410.4 less Other 39.6 (search excerpt: 'about $6.36 billion, +1.0%').</t>
        </is>
      </c>
    </row>
    <row r="38" ht="40.5" customHeight="1">
      <c r="B38" s="14" t="inlineStr">
        <is>
          <t>Segment cost of sales / SG&amp;A</t>
        </is>
      </c>
      <c r="C38" s="4" t="inlineStr">
        <is>
          <t>Fiscal 2026 segment cost lines (Note 5 'significant segment expenses') could not be retrieved, so: INTL gross margin 32.0% (FY2025 implied about 30%), INTL SG&amp;A 27.5% of sales (FY2025 27.6%), OTHER gross margin 8.0%, corporate fixed SG&amp;A 56.0 (FY2025 54.8 grown about 2%), NA = residual. Segment operating income still ties exactly to reported figures (NA 452.6, INTL 16.3, OTHER -75.8). Replace with the 10-K table when available.</t>
        </is>
      </c>
    </row>
    <row r="39" ht="27" customHeight="1">
      <c r="B39" s="14" t="inlineStr">
        <is>
          <t>Other operating income/(expense)</t>
        </is>
      </c>
      <c r="C39" s="4" t="inlineStr">
        <is>
          <t>Consolidated -128.3 (= operating income 393.1 - gross margin 2,694.6 + SG&amp;A 2,173.2) comprises impairments (about 91.3 digital brands) and restructuring; split NA -103.3 / INTL -2.0 / OTHER -23.0 so that segment operating income ties.</t>
        </is>
      </c>
    </row>
    <row r="40" ht="40.5" customHeight="1">
      <c r="B40" s="14" t="inlineStr">
        <is>
          <t>Revenue build (FY2026A)</t>
        </is>
      </c>
      <c r="C40" s="4" t="inlineStr">
        <is>
          <t>Services: NA 760.0 and INTL 41.0 of the 803.5 consolidated (balance assumed inside Other). E-commerce: 21.8% x 6,813.6 = 1,485.4, of which INTL 61.6 (15% of its sales) and NA 1,423.8. Store merchandise sales = segment sales - services - e-commerce; sales per store = store merchandise sales / average stores (NA 1.776, INTL 1.193).</t>
        </is>
      </c>
    </row>
    <row r="41" ht="27" customHeight="1">
      <c r="B41" s="14" t="inlineStr">
        <is>
          <t>Interest, other non-operating and tax</t>
        </is>
      </c>
      <c r="C41" s="4" t="inlineStr">
        <is>
          <t>Net interest income 4.0 + other non-operating income 1.0 = 5.0 allocated by sales share (NA 4.7, INTL 0.3, OTHER 0.0). Income taxes 103.7 allocated at the 26.0% effective rate (NA 119.1, INTL 4.3, OTHER -19.7 tax benefit on the corporate loss).</t>
        </is>
      </c>
    </row>
    <row r="42" ht="27" customHeight="1">
      <c r="B42" s="14" t="inlineStr">
        <is>
          <t>Balance sheet</t>
        </is>
      </c>
      <c r="C42" s="4" t="inlineStr">
        <is>
          <t>Simplified assets = cash 874.8 + inventory 1,940.1 = 2,814.9. Other liabilities, net = 2,814.9 - reported equity 1,966.2 = 848.7 (plug). All lines allocated by FY2026 sales share.</t>
        </is>
      </c>
    </row>
    <row r="44">
      <c r="A44" s="12" t="inlineStr">
        <is>
          <t>Questions for the lecturer / TAs</t>
        </is>
      </c>
      <c r="B44" s="13" t="n"/>
      <c r="C44" s="13" t="n"/>
      <c r="D44" s="13" t="n"/>
      <c r="E44" s="13" t="n"/>
      <c r="F44" s="13" t="n"/>
      <c r="G44" s="13" t="n"/>
    </row>
    <row r="45" ht="27" customHeight="1">
      <c r="B45" s="14" t="inlineStr">
        <is>
          <t>Q1</t>
        </is>
      </c>
      <c r="C45" s="4" t="inlineStr">
        <is>
          <t>Segment structure: we model three tabs (NA, INTL, OTHER = diamond sourcing + corporate/unallocated) so the Total tab reproduces the consolidated statements exactly. OTHER has a negative value (corporate cost centre). Is this acceptable, or should corporate costs be allocated into NA and INTL?</t>
        </is>
      </c>
    </row>
    <row r="46" ht="27" customHeight="1">
      <c r="B46" s="14" t="inlineStr">
        <is>
          <t>Q2</t>
        </is>
      </c>
      <c r="C46" s="4" t="inlineStr">
        <is>
          <t>Valuation approach: we chose 'profits released' (PV of distributed earnings + PV of terminal equity) rather than 'profits retained'. Please confirm either is acceptable for 3(a) and that the same approach must be kept in 3(d).</t>
        </is>
      </c>
    </row>
    <row r="47" ht="27" customHeight="1">
      <c r="B47" s="14" t="inlineStr">
        <is>
          <t>Q3</t>
        </is>
      </c>
      <c r="C47" s="4" t="inlineStr">
        <is>
          <t>Balance-sheet simplification: equity is calibrated to reported shareholders' equity through a single 'other liabilities, net' plug. Is a book-equity terminal value preferred to a tangible-equity (ex-goodwill) terminal value?</t>
        </is>
      </c>
    </row>
    <row r="48" ht="27" customHeight="1">
      <c r="B48" s="14" t="inlineStr">
        <is>
          <t>Q4</t>
        </is>
      </c>
      <c r="C48" s="4" t="inlineStr">
        <is>
          <t>Segment cost allocations: the Fiscal 2026 segment cost-of-sales/SG&amp;A table could not be retrieved in the build environment; allocations are documented above and will be replaced from the 10-K. Does the TA want the replacement before Session 7?</t>
        </is>
      </c>
    </row>
    <row r="49" ht="27" customHeight="1">
      <c r="B49" s="14" t="inlineStr">
        <is>
          <t>Q5</t>
        </is>
      </c>
      <c r="C49" s="4" t="inlineStr">
        <is>
          <t>Discount rate: single CAPM cost of equity per segment (10.5% / 12.0% / 10.5%) with the 10-year Treasury at 5.24%. Is a segment premium for International appropriate, or should one company-wide rate be used?</t>
        </is>
      </c>
    </row>
    <row r="51">
      <c r="A51" s="12" t="inlineStr">
        <is>
          <t>Limitations</t>
        </is>
      </c>
      <c r="B51" s="13" t="n"/>
      <c r="C51" s="13" t="n"/>
      <c r="D51" s="13" t="n"/>
      <c r="E51" s="13" t="n"/>
      <c r="F51" s="13" t="n"/>
      <c r="G51" s="13" t="n"/>
    </row>
    <row r="52" ht="40.5" customHeight="1">
      <c r="B52" s="14" t="inlineStr">
        <is>
          <t>L1</t>
        </is>
      </c>
      <c r="C52" s="4" t="inlineStr">
        <is>
          <t>Data access: sec.gov, signetjewelers.com and the IR PDF host were blocked in the build environment, so figures come from web-search excerpts of the 10-K, the Q4 FY2026 and Q2 FY2027 releases and their verbatim re-publications. Confidence flags (A-D) are in data/*.csv. Segment cost lines, International adjusted operating income and intangibles were not retrievable.</t>
        </is>
      </c>
    </row>
    <row r="53" ht="27" customHeight="1">
      <c r="B53" s="14" t="inlineStr">
        <is>
          <t>L2</t>
        </is>
      </c>
      <c r="C53" s="4" t="inlineStr">
        <is>
          <t>Static balance sheet: no capex, depreciation, working-capital build or lease accounting; inventory and cash are held flat. Buybacks are treated as distributions and the share count is not reduced, so modelled EPS growth is slower than consensus.</t>
        </is>
      </c>
    </row>
    <row r="54" ht="15" customHeight="1">
      <c r="B54" s="14" t="inlineStr">
        <is>
          <t>L3</t>
        </is>
      </c>
      <c r="C54" s="4" t="inlineStr">
        <is>
          <t>FX: International is modelled in USD at FY2026 rates; a GBP shock would be applied through the INTL sales-per-store and e-commerce drivers in 3(d).</t>
        </is>
      </c>
    </row>
    <row r="55" ht="15" customHeight="1">
      <c r="B55" s="14" t="inlineStr">
        <is>
          <t>L4</t>
        </is>
      </c>
      <c r="C55" s="4" t="inlineStr">
        <is>
          <t>Seasonality: annual model; the holiday-quarter concentration of earnings is not visible (a quarterly layer could be added later).</t>
        </is>
      </c>
    </row>
    <row r="56" ht="15" customHeight="1">
      <c r="B56" s="14" t="inlineStr">
        <is>
          <t>L5</t>
        </is>
      </c>
      <c r="C56" s="4" t="inlineStr">
        <is>
          <t>Tax: a single effective rate per segment; OTHER's corporate loss generates a tax benefit, consistent with consolidated filing.</t>
        </is>
      </c>
    </row>
    <row r="57" ht="27" customHeight="1">
      <c r="B57" s="14" t="inlineStr">
        <is>
          <t>L6</t>
        </is>
      </c>
      <c r="C57" s="4" t="inlineStr">
        <is>
          <t>The 'Baseline snapshot' value is a pasted number (as in the Pear model) so that 3(d) can compare scenario runs against it; it is checked against the live value on the Checks tab and must be re-pasted if baseline assumptions change (rerun build/build_model.py).</t>
        </is>
      </c>
    </row>
    <row r="59">
      <c r="A59" s="12" t="inlineStr">
        <is>
          <t>References (APA 7th)</t>
        </is>
      </c>
      <c r="B59" s="13" t="n"/>
      <c r="C59" s="13" t="n"/>
      <c r="D59" s="13" t="n"/>
      <c r="E59" s="13" t="n"/>
      <c r="F59" s="13" t="n"/>
      <c r="G59" s="13" t="n"/>
    </row>
    <row r="60" ht="15" customHeight="1">
      <c r="B60" s="4" t="inlineStr">
        <is>
          <t>Bank of Canada. (2026, July 15). Monetary policy report: July 2026. https://www.bankofcanada.ca/publications/mpr/mpr-2026-07-15/projections/</t>
        </is>
      </c>
    </row>
    <row r="61" ht="15" customHeight="1">
      <c r="B61" s="4" t="inlineStr">
        <is>
          <t>Board of Governors of the Federal Reserve System. (2026a, October 9). H.15 selected interest rates (daily). https://www.federalreserve.gov/releases/h15/</t>
        </is>
      </c>
    </row>
    <row r="62" ht="15" customHeight="1">
      <c r="B62" s="4" t="inlineStr">
        <is>
          <t>Board of Governors of the Federal Reserve System. (2026b, September 16). Summary of economic projections. https://www.federalreserve.gov/monetarypolicy/fomcprojtabl20260916.htm</t>
        </is>
      </c>
    </row>
    <row r="63" ht="27" customHeight="1">
      <c r="B63" s="4" t="inlineStr">
        <is>
          <t>CNBC. (2026, September 9). Signet shares soar as jeweler lifts annual profit forecast. https://www.cnbc.com/2026/09/09/signet-shares-soar-as-jeweler-lifts-annual-profit-forecast.html</t>
        </is>
      </c>
    </row>
    <row r="64" ht="15" customHeight="1">
      <c r="B64" s="4" t="inlineStr">
        <is>
          <t>Damodaran, A. (2026). Implied equity risk premium update (October 1, 2026). NYU Stern School of Business. https://pages.stern.nyu.edu/~adamodar/New_Home_Page/home.htm</t>
        </is>
      </c>
    </row>
    <row r="65" ht="27" customHeight="1">
      <c r="B65" s="4" t="inlineStr">
        <is>
          <t>European Commission. (2026, May). Economic forecast for Ireland (Spring 2026). https://economy-finance.ec.europa.eu/economic-surveillance-eu-member-states/country-pages-including-country-reports/ireland/economic-forecast-ireland_en</t>
        </is>
      </c>
    </row>
    <row r="66" ht="15" customHeight="1">
      <c r="B66" s="4" t="inlineStr">
        <is>
          <t>Google Finance. (2026). Signet Jewelers Ltd (SIG) stock price and news. https://www.google.com/finance/quote/SIG:NYSE</t>
        </is>
      </c>
    </row>
    <row r="67" ht="15" customHeight="1">
      <c r="B67" s="4" t="inlineStr">
        <is>
          <t>International Monetary Fund. (2026a, January). World economic outlook update: Global growth steady amid trade pressures. https://www.imf.org/en/Publications/WEO</t>
        </is>
      </c>
    </row>
    <row r="68" ht="27" customHeight="1">
      <c r="B68" s="4" t="inlineStr">
        <is>
          <t>International Monetary Fund. (2026b, June 29). IMF Executive Board concludes 2026 Article IV consultation with Ireland [Press release No. 26/225]. https://www.imf.org/en/news/articles/2026/06/29/pr26225-ireland-imf-executive-board-concludes-2026-article-iv-consultation</t>
        </is>
      </c>
    </row>
    <row r="69" ht="27" customHeight="1">
      <c r="B69" s="4" t="inlineStr">
        <is>
          <t>Jain, M., Razzaque, Z., Weng, S., Chamsi Bacha, J., &amp; Chan, A. (2026). Signet Jewelers Limited: Enterprise risk management program review (Case Assignment #2) [Unpublished course paper]. Columbia University. https://docs.google.com/document/d/1Qr6z5GyjssLGEcddoUETzNGfa9EOANAFN8yzgKIu-rs/edit</t>
        </is>
      </c>
    </row>
    <row r="70" ht="15" customHeight="1">
      <c r="B70" s="4" t="inlineStr">
        <is>
          <t>MarketBeat. (2026). Signet Jewelers (SIG) stock price, news and analysis. https://www.marketbeat.com/stocks/NYSE/SIG/</t>
        </is>
      </c>
    </row>
    <row r="71" ht="15" customHeight="1">
      <c r="B71" s="4" t="inlineStr">
        <is>
          <t>Segal, S. (2011). Corporate value of enterprise risk management: The next step in business management. John Wiley &amp; Sons.</t>
        </is>
      </c>
    </row>
    <row r="72" ht="27" customHeight="1">
      <c r="B72" s="4" t="inlineStr">
        <is>
          <t>Signet Jewelers Limited. (2024). Annual report on Form 10-K for the fiscal year ended February 3, 2024. U.S. Securities and Exchange Commission. https://www.sec.gov/Archives/edgar/data/832988/000083298824000083/sig-20240203.htm</t>
        </is>
      </c>
    </row>
    <row r="73" ht="27" customHeight="1">
      <c r="B73" s="4" t="inlineStr">
        <is>
          <t>Signet Jewelers Limited. (2024, March 20). Signet Jewelers reports fourth quarter and Fiscal 2024 results [Press release; Form 8-K Exhibit 99.1]. U.S. Securities and Exchange Commission. https://www.sec.gov/Archives/edgar/data/832988/000083298824000076/fy25ex9913x20x24pressrelea.htm</t>
        </is>
      </c>
    </row>
    <row r="74" ht="27" customHeight="1">
      <c r="B74" s="4" t="inlineStr">
        <is>
          <t>Signet Jewelers Limited. (2025a). Annual report on Form 10-K for the fiscal year ended February 1, 2025. U.S. Securities and Exchange Commission. https://www.sec.gov/Archives/edgar/data/832988/000083298825000018/sig-20250201.htm</t>
        </is>
      </c>
    </row>
    <row r="75" ht="27" customHeight="1">
      <c r="B75" s="4" t="inlineStr">
        <is>
          <t>Signet Jewelers Limited. (2025b, March 19). Signet Jewelers reports fourth quarter and Fiscal 2025 results [Press release]. Business Wire. https://www.businesswire.com/news/home/20250319542686/en/Signet-Jewelers-Reports-Fourth-Quarter-and-Fiscal-2025-Results</t>
        </is>
      </c>
    </row>
    <row r="76" ht="27" customHeight="1">
      <c r="B76" s="4" t="inlineStr">
        <is>
          <t>Signet Jewelers Limited. (2026a). Annual report on Form 10-K for the fiscal year ended January 31, 2026. U.S. Securities and Exchange Commission. https://www.sec.gov/Archives/edgar/data/832988/000083298826000055/sig-20260131.htm</t>
        </is>
      </c>
    </row>
    <row r="77" ht="27" customHeight="1">
      <c r="B77" s="4" t="inlineStr">
        <is>
          <t>Signet Jewelers Limited. (2026b, March 19). Signet Jewelers reports fourth quarter and full year Fiscal 2026 results [Press release; Form 8-K Exhibit 99.1]. U.S. Securities and Exchange Commission. https://www.sec.gov/Archives/edgar/data/832988/000083298826000054/fy27ex9913x19x26pressrelea.htm</t>
        </is>
      </c>
    </row>
    <row r="78" ht="27" customHeight="1">
      <c r="B78" s="4" t="inlineStr">
        <is>
          <t>Signet Jewelers Limited. (2026c, September 9). Signet Jewelers reports second quarter Fiscal 2027 results [Press release; Form 8-K Exhibit 99.1]. U.S. Securities and Exchange Commission. https://www.sec.gov/Archives/edgar/data/0000832988/000083298826000227/fy27ex99109x09x26pressrele.htm</t>
        </is>
      </c>
    </row>
    <row r="79" ht="27" customHeight="1">
      <c r="B79" s="4" t="inlineStr">
        <is>
          <t>Signet Jewelers Limited. (2026d). Quarterly report on Form 10-Q for the quarterly period ended August 1, 2026. U.S. Securities and Exchange Commission. https://www.sec.gov/Archives/edgar/data/0000832988/000083298826000229/sig-20260801.htm</t>
        </is>
      </c>
    </row>
    <row r="80" ht="27" customHeight="1">
      <c r="B80" s="4" t="inlineStr">
        <is>
          <t>Signet Jewelers Limited. (2026e). Quarterly report on Form 10-Q for the quarterly period ended May 2, 2026. U.S. Securities and Exchange Commission. https://www.sec.gov/Archives/edgar/data/0000832988/000083298826000159/sig-20260502.htm</t>
        </is>
      </c>
    </row>
    <row r="81" ht="15" customHeight="1">
      <c r="B81" s="4" t="inlineStr">
        <is>
          <t>Signet Jewelers Limited. (2026f). Fiscal 2026 annual report. https://s26.q4cdn.com/755441662/files/doc_financials/annual/SIG-fy26-AR.pdf</t>
        </is>
      </c>
    </row>
    <row r="82" ht="15" customHeight="1">
      <c r="B82" s="4" t="inlineStr">
        <is>
          <t>StockAnalysis. (2026). Signet Jewelers (SIG) statistics, valuation and forecast. https://stockanalysis.com/stocks/sig/statistics/</t>
        </is>
      </c>
    </row>
    <row r="83" ht="15" customHeight="1">
      <c r="B83" s="4" t="inlineStr">
        <is>
          <t>The Motley Fool. (2026). Signet Jewelers (SIG) stock price and news. https://www.fool.com/quote/nyse/sig/</t>
        </is>
      </c>
    </row>
    <row r="84" ht="27" customHeight="1">
      <c r="B84" s="4" t="inlineStr">
        <is>
          <t>Vanguard. (2026, August 11). Vanguard economic and market outlook: United Kingdom. https://externalcrewnet.vanguard.com/content/corporatesite/us/en/corp/vemo/vemo-united-kingdom.html</t>
        </is>
      </c>
    </row>
    <row r="85" ht="15" customHeight="1">
      <c r="B85" s="4" t="inlineStr">
        <is>
          <t>WallStreetZen. (2026). Signet Jewelers stock forecast and predictions. https://www.wallstreetzen.com/stocks/us/nyse/sig/stock-forecast</t>
        </is>
      </c>
    </row>
    <row r="86" ht="15" customHeight="1">
      <c r="B86" s="4" t="inlineStr">
        <is>
          <t>Yahoo Finance. (2026). Signet Jewelers Limited (SIG) analysis and historical quotes. https://finance.yahoo.com/quote/SIG/analysis/</t>
        </is>
      </c>
    </row>
  </sheetData>
  <mergeCells count="44">
    <mergeCell ref="C49:G49"/>
    <mergeCell ref="B60:G60"/>
    <mergeCell ref="B67:G67"/>
    <mergeCell ref="C42:G42"/>
    <mergeCell ref="B61:G61"/>
    <mergeCell ref="B73:G73"/>
    <mergeCell ref="C45:G45"/>
    <mergeCell ref="B82:G82"/>
    <mergeCell ref="B78:G78"/>
    <mergeCell ref="B69:G69"/>
    <mergeCell ref="C47:G47"/>
    <mergeCell ref="C54:G54"/>
    <mergeCell ref="B84:G84"/>
    <mergeCell ref="C41:G41"/>
    <mergeCell ref="B65:G65"/>
    <mergeCell ref="B83:G83"/>
    <mergeCell ref="C55:G55"/>
    <mergeCell ref="B74:G74"/>
    <mergeCell ref="B68:G68"/>
    <mergeCell ref="C40:G40"/>
    <mergeCell ref="B64:G64"/>
    <mergeCell ref="C56:G56"/>
    <mergeCell ref="B80:G80"/>
    <mergeCell ref="B85:G85"/>
    <mergeCell ref="C46:G46"/>
    <mergeCell ref="B76:G76"/>
    <mergeCell ref="B63:G63"/>
    <mergeCell ref="B79:G79"/>
    <mergeCell ref="B75:G75"/>
    <mergeCell ref="C39:G39"/>
    <mergeCell ref="C52:G52"/>
    <mergeCell ref="B62:G62"/>
    <mergeCell ref="C48:G48"/>
    <mergeCell ref="B72:G72"/>
    <mergeCell ref="B81:G81"/>
    <mergeCell ref="B66:G66"/>
    <mergeCell ref="C38:G38"/>
    <mergeCell ref="B71:G71"/>
    <mergeCell ref="C57:G57"/>
    <mergeCell ref="C37:G37"/>
    <mergeCell ref="C53:G53"/>
    <mergeCell ref="B70:G70"/>
    <mergeCell ref="B86:G86"/>
    <mergeCell ref="B77:G77"/>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O112"/>
  <sheetViews>
    <sheetView zoomScale="9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66" customWidth="1" min="2" max="2"/>
    <col width="17"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7" customWidth="1" min="14" max="14"/>
    <col width="60" customWidth="1" min="15" max="15"/>
  </cols>
  <sheetData>
    <row r="1">
      <c r="A1" s="1" t="inlineStr">
        <is>
          <t>Signet Jewelers - Baseline Value-Based ERM Model - Segment: North America</t>
        </is>
      </c>
    </row>
    <row r="2">
      <c r="A2" s="10" t="inlineStr">
        <is>
          <t>North America reportable segment: Kay, Zales, Jared, Diamonds Direct, Banter by Piercing Pagoda, Rocksbox, the digital brands James Allen and Blue Nile, and Peoples Jewellers (Canada).  Units: $ millions (one decimal) unless stated; fiscal years end about January 31 (FY2026 = year ended Jan 31, 2026). Blue = hard-coded input, black = formula, green = link to another tab.</t>
        </is>
      </c>
    </row>
    <row r="3">
      <c r="A3" s="11" t="inlineStr">
        <is>
          <t>Section</t>
        </is>
      </c>
      <c r="B3" s="11" t="inlineStr">
        <is>
          <t>Line item</t>
        </is>
      </c>
      <c r="C3" s="15" t="inlineStr">
        <is>
          <t>Last Yr (FY2026A)</t>
        </is>
      </c>
      <c r="D3" s="15" t="inlineStr">
        <is>
          <t>FY2027</t>
        </is>
      </c>
      <c r="E3" s="15" t="inlineStr">
        <is>
          <t>FY2028</t>
        </is>
      </c>
      <c r="F3" s="15" t="inlineStr">
        <is>
          <t>FY2029</t>
        </is>
      </c>
      <c r="G3" s="15" t="inlineStr">
        <is>
          <t>FY2030</t>
        </is>
      </c>
      <c r="H3" s="15" t="inlineStr">
        <is>
          <t>FY2031</t>
        </is>
      </c>
      <c r="I3" s="15" t="inlineStr">
        <is>
          <t>FY2032</t>
        </is>
      </c>
      <c r="J3" s="15" t="inlineStr">
        <is>
          <t>FY2033</t>
        </is>
      </c>
      <c r="K3" s="15" t="inlineStr">
        <is>
          <t>FY2034</t>
        </is>
      </c>
      <c r="L3" s="15" t="inlineStr">
        <is>
          <t>FY2035</t>
        </is>
      </c>
      <c r="M3" s="15" t="inlineStr">
        <is>
          <t>FY2036</t>
        </is>
      </c>
      <c r="N3" s="11" t="inlineStr">
        <is>
          <t>Units</t>
        </is>
      </c>
      <c r="O3" s="11" t="inlineStr">
        <is>
          <t>Notes</t>
        </is>
      </c>
    </row>
    <row r="4"/>
    <row r="5">
      <c r="A5" s="12" t="inlineStr">
        <is>
          <t>BASELINE ASSUMPTIONS (blue = hard-coded input; black '=previous cell' carries an assumption forward)</t>
        </is>
      </c>
      <c r="B5" s="13" t="n"/>
      <c r="C5" s="13" t="n"/>
      <c r="D5" s="13" t="n"/>
      <c r="E5" s="13" t="n"/>
      <c r="F5" s="13" t="n"/>
      <c r="G5" s="13" t="n"/>
      <c r="H5" s="13" t="n"/>
      <c r="I5" s="13" t="n"/>
      <c r="J5" s="13" t="n"/>
      <c r="K5" s="13" t="n"/>
      <c r="L5" s="13" t="n"/>
      <c r="M5" s="13" t="n"/>
      <c r="N5" s="13" t="n"/>
      <c r="O5" s="13" t="n"/>
    </row>
    <row r="6">
      <c r="A6" s="10" t="inlineStr">
        <is>
          <t>Baseline</t>
        </is>
      </c>
      <c r="B6" s="7" t="inlineStr">
        <is>
          <t>Gross store openings (number of stores)</t>
        </is>
      </c>
      <c r="C6" s="16">
        <f>C59</f>
        <v/>
      </c>
      <c r="D6" s="17" t="n">
        <v>6</v>
      </c>
      <c r="E6" s="17" t="n">
        <v>10</v>
      </c>
      <c r="F6" s="16">
        <f>E6</f>
        <v/>
      </c>
      <c r="G6" s="17" t="n">
        <v>12</v>
      </c>
      <c r="H6" s="16">
        <f>G6</f>
        <v/>
      </c>
      <c r="I6" s="16">
        <f>H6</f>
        <v/>
      </c>
      <c r="J6" s="16">
        <f>I6</f>
        <v/>
      </c>
      <c r="K6" s="16">
        <f>J6</f>
        <v/>
      </c>
      <c r="L6" s="16">
        <f>K6</f>
        <v/>
      </c>
      <c r="M6" s="16">
        <f>L6</f>
        <v/>
      </c>
      <c r="N6" s="10" t="inlineStr">
        <is>
          <t># stores</t>
        </is>
      </c>
      <c r="O6" s="10" t="inlineStr">
        <is>
          <t>Gross openings; net of closures drives average stores.</t>
        </is>
      </c>
    </row>
    <row r="7">
      <c r="A7" s="10" t="inlineStr">
        <is>
          <t>Baseline</t>
        </is>
      </c>
      <c r="B7" s="7" t="inlineStr">
        <is>
          <t>Store closures (number of stores)</t>
        </is>
      </c>
      <c r="C7" s="16">
        <f>C60</f>
        <v/>
      </c>
      <c r="D7" s="17" t="n">
        <v>70</v>
      </c>
      <c r="E7" s="17" t="n">
        <v>50</v>
      </c>
      <c r="F7" s="17" t="n">
        <v>40</v>
      </c>
      <c r="G7" s="17" t="n">
        <v>30</v>
      </c>
      <c r="H7" s="17" t="n">
        <v>25</v>
      </c>
      <c r="I7" s="17" t="n">
        <v>20</v>
      </c>
      <c r="J7" s="16">
        <f>I7</f>
        <v/>
      </c>
      <c r="K7" s="16">
        <f>J7</f>
        <v/>
      </c>
      <c r="L7" s="16">
        <f>K7</f>
        <v/>
      </c>
      <c r="M7" s="16">
        <f>L7</f>
        <v/>
      </c>
      <c r="N7" s="10" t="inlineStr">
        <is>
          <t># stores</t>
        </is>
      </c>
      <c r="O7" s="10" t="inlineStr">
        <is>
          <t>Fleet optimisation: mall closures / off-mall repositioning (net sq ft 'low-single-digit decline' guidance).</t>
        </is>
      </c>
    </row>
    <row r="8">
      <c r="A8" s="10" t="inlineStr">
        <is>
          <t>Baseline</t>
        </is>
      </c>
      <c r="B8" s="7" t="inlineStr">
        <is>
          <t>Same-store sales growth (applied to merchandise sales per average store)</t>
        </is>
      </c>
      <c r="C8" s="18" t="n">
        <v>0.012</v>
      </c>
      <c r="D8" s="18" t="n">
        <v>0.015</v>
      </c>
      <c r="E8" s="18" t="n">
        <v>0.02</v>
      </c>
      <c r="F8" s="19">
        <f>E8</f>
        <v/>
      </c>
      <c r="G8" s="19">
        <f>F8</f>
        <v/>
      </c>
      <c r="H8" s="19">
        <f>G8</f>
        <v/>
      </c>
      <c r="I8" s="19">
        <f>H8</f>
        <v/>
      </c>
      <c r="J8" s="19">
        <f>I8</f>
        <v/>
      </c>
      <c r="K8" s="19">
        <f>J8</f>
        <v/>
      </c>
      <c r="L8" s="19">
        <f>K8</f>
        <v/>
      </c>
      <c r="M8" s="19">
        <f>L8</f>
        <v/>
      </c>
      <c r="N8" s="10" t="inlineStr">
        <is>
          <t>% p.a.</t>
        </is>
      </c>
      <c r="O8" s="10" t="inlineStr">
        <is>
          <t>Price/mix + traffic growth applied to sales per average store.</t>
        </is>
      </c>
    </row>
    <row r="9">
      <c r="A9" s="10" t="inlineStr">
        <is>
          <t>Baseline</t>
        </is>
      </c>
      <c r="B9" s="7" t="inlineStr">
        <is>
          <t>E-commerce merchandise sales growth</t>
        </is>
      </c>
      <c r="D9" s="18" t="n">
        <v>0.03</v>
      </c>
      <c r="E9" s="18" t="n">
        <v>0.04</v>
      </c>
      <c r="F9" s="19">
        <f>E9</f>
        <v/>
      </c>
      <c r="G9" s="19">
        <f>F9</f>
        <v/>
      </c>
      <c r="H9" s="19">
        <f>G9</f>
        <v/>
      </c>
      <c r="I9" s="19">
        <f>H9</f>
        <v/>
      </c>
      <c r="J9" s="19">
        <f>I9</f>
        <v/>
      </c>
      <c r="K9" s="19">
        <f>J9</f>
        <v/>
      </c>
      <c r="L9" s="19">
        <f>K9</f>
        <v/>
      </c>
      <c r="M9" s="19">
        <f>L9</f>
        <v/>
      </c>
      <c r="N9" s="10" t="inlineStr">
        <is>
          <t>% p.a.</t>
        </is>
      </c>
      <c r="O9" s="10" t="inlineStr">
        <is>
          <t>Includes digital-native brands (NA) and store-brand online sales.</t>
        </is>
      </c>
    </row>
    <row r="10">
      <c r="A10" s="10" t="inlineStr">
        <is>
          <t>Baseline</t>
        </is>
      </c>
      <c r="B10" s="7" t="inlineStr">
        <is>
          <t>Services attach rate (services revenue as % of merchandise sales)</t>
        </is>
      </c>
      <c r="C10" s="19">
        <f>IF(C66+C67=0,0,C68/(C66+C67))</f>
        <v/>
      </c>
      <c r="D10" s="18" t="n">
        <v>0.138</v>
      </c>
      <c r="E10" s="18" t="n">
        <v>0.14</v>
      </c>
      <c r="F10" s="19">
        <f>E10</f>
        <v/>
      </c>
      <c r="G10" s="19">
        <f>F10</f>
        <v/>
      </c>
      <c r="H10" s="19">
        <f>G10</f>
        <v/>
      </c>
      <c r="I10" s="19">
        <f>H10</f>
        <v/>
      </c>
      <c r="J10" s="19">
        <f>I10</f>
        <v/>
      </c>
      <c r="K10" s="19">
        <f>J10</f>
        <v/>
      </c>
      <c r="L10" s="19">
        <f>K10</f>
        <v/>
      </c>
      <c r="M10" s="19">
        <f>L10</f>
        <v/>
      </c>
      <c r="N10" s="10" t="inlineStr">
        <is>
          <t>% of merch.</t>
        </is>
      </c>
      <c r="O10" s="10" t="inlineStr">
        <is>
          <t>Extended service plans, repairs, custom design.</t>
        </is>
      </c>
    </row>
    <row r="11">
      <c r="A11" s="10" t="inlineStr">
        <is>
          <t>Baseline</t>
        </is>
      </c>
      <c r="B11" s="7" t="inlineStr">
        <is>
          <t>Other (non-retail / diamond sourcing) revenue growth</t>
        </is>
      </c>
      <c r="D11" s="18" t="n">
        <v>0</v>
      </c>
      <c r="E11" s="19">
        <f>D11</f>
        <v/>
      </c>
      <c r="F11" s="19">
        <f>E11</f>
        <v/>
      </c>
      <c r="G11" s="19">
        <f>F11</f>
        <v/>
      </c>
      <c r="H11" s="19">
        <f>G11</f>
        <v/>
      </c>
      <c r="I11" s="19">
        <f>H11</f>
        <v/>
      </c>
      <c r="J11" s="19">
        <f>I11</f>
        <v/>
      </c>
      <c r="K11" s="19">
        <f>J11</f>
        <v/>
      </c>
      <c r="L11" s="19">
        <f>K11</f>
        <v/>
      </c>
      <c r="M11" s="19">
        <f>L11</f>
        <v/>
      </c>
      <c r="N11" s="10" t="inlineStr">
        <is>
          <t>% p.a.</t>
        </is>
      </c>
      <c r="O11" s="10" t="inlineStr">
        <is>
          <t>Only the diamond-sourcing sales in OTHER are non-zero.</t>
        </is>
      </c>
    </row>
    <row r="12">
      <c r="A12" s="10" t="inlineStr">
        <is>
          <t>Baseline</t>
        </is>
      </c>
      <c r="B12" s="7" t="inlineStr">
        <is>
          <t>Cost of sales (incl. store occupancy) as % of total sales</t>
        </is>
      </c>
      <c r="C12" s="19">
        <f>IF(C70=0,0,C72/C70)</f>
        <v/>
      </c>
      <c r="D12" s="18" t="n">
        <v>0.593</v>
      </c>
      <c r="E12" s="19">
        <f>D12</f>
        <v/>
      </c>
      <c r="F12" s="19">
        <f>E12</f>
        <v/>
      </c>
      <c r="G12" s="19">
        <f>F12</f>
        <v/>
      </c>
      <c r="H12" s="19">
        <f>G12</f>
        <v/>
      </c>
      <c r="I12" s="19">
        <f>H12</f>
        <v/>
      </c>
      <c r="J12" s="19">
        <f>I12</f>
        <v/>
      </c>
      <c r="K12" s="19">
        <f>J12</f>
        <v/>
      </c>
      <c r="L12" s="19">
        <f>K12</f>
        <v/>
      </c>
      <c r="M12" s="19">
        <f>L12</f>
        <v/>
      </c>
      <c r="N12" s="10" t="inlineStr">
        <is>
          <t>% of sales</t>
        </is>
      </c>
      <c r="O12" s="10" t="inlineStr">
        <is>
          <t>Signet books store occupancy in cost of sales; 1 - this = gross margin %.</t>
        </is>
      </c>
    </row>
    <row r="13">
      <c r="A13" s="10" t="inlineStr">
        <is>
          <t>Baseline</t>
        </is>
      </c>
      <c r="B13" s="7" t="inlineStr">
        <is>
          <t>Variable SG&amp;A (store payroll, advertising, credit) as % of total sales</t>
        </is>
      </c>
      <c r="C13" s="19">
        <f>IF(C70=0,0,C75/C70)</f>
        <v/>
      </c>
      <c r="D13" s="18" t="n">
        <v>0.2</v>
      </c>
      <c r="E13" s="19">
        <f>D13</f>
        <v/>
      </c>
      <c r="F13" s="19">
        <f>E13</f>
        <v/>
      </c>
      <c r="G13" s="19">
        <f>F13</f>
        <v/>
      </c>
      <c r="H13" s="19">
        <f>G13</f>
        <v/>
      </c>
      <c r="I13" s="19">
        <f>H13</f>
        <v/>
      </c>
      <c r="J13" s="19">
        <f>I13</f>
        <v/>
      </c>
      <c r="K13" s="19">
        <f>J13</f>
        <v/>
      </c>
      <c r="L13" s="19">
        <f>K13</f>
        <v/>
      </c>
      <c r="M13" s="19">
        <f>L13</f>
        <v/>
      </c>
      <c r="N13" s="10" t="inlineStr">
        <is>
          <t>% of sales</t>
        </is>
      </c>
      <c r="O13" s="10" t="inlineStr">
        <is>
          <t>Marginal expenses that move with sales.</t>
        </is>
      </c>
    </row>
    <row r="14">
      <c r="A14" s="10" t="inlineStr">
        <is>
          <t>Baseline</t>
        </is>
      </c>
      <c r="B14" s="7" t="inlineStr">
        <is>
          <t>Fixed SG&amp;A inflation (corporate, support, fixed store overhead)</t>
        </is>
      </c>
      <c r="D14" s="18" t="n">
        <v>0.025</v>
      </c>
      <c r="E14" s="18" t="n">
        <v>0.023</v>
      </c>
      <c r="F14" s="18" t="n">
        <v>0.021</v>
      </c>
      <c r="G14" s="18" t="n">
        <v>0.02</v>
      </c>
      <c r="H14" s="19">
        <f>G14</f>
        <v/>
      </c>
      <c r="I14" s="19">
        <f>H14</f>
        <v/>
      </c>
      <c r="J14" s="19">
        <f>I14</f>
        <v/>
      </c>
      <c r="K14" s="19">
        <f>J14</f>
        <v/>
      </c>
      <c r="L14" s="19">
        <f>K14</f>
        <v/>
      </c>
      <c r="M14" s="19">
        <f>L14</f>
        <v/>
      </c>
      <c r="N14" s="10" t="inlineStr">
        <is>
          <t>% p.a.</t>
        </is>
      </c>
      <c r="O14" s="10" t="inlineStr">
        <is>
          <t>Fixed expenses grow with inflation (Session 6 guidance).</t>
        </is>
      </c>
    </row>
    <row r="15">
      <c r="A15" s="10" t="inlineStr">
        <is>
          <t>Baseline</t>
        </is>
      </c>
      <c r="B15" s="7" t="inlineStr">
        <is>
          <t>Cost-savings initiatives (incremental run-rate cut to fixed SG&amp;A)</t>
        </is>
      </c>
      <c r="D15" s="20" t="n">
        <v>0</v>
      </c>
      <c r="E15" s="21">
        <f>D15</f>
        <v/>
      </c>
      <c r="F15" s="21">
        <f>E15</f>
        <v/>
      </c>
      <c r="G15" s="21">
        <f>F15</f>
        <v/>
      </c>
      <c r="H15" s="21">
        <f>G15</f>
        <v/>
      </c>
      <c r="I15" s="21">
        <f>H15</f>
        <v/>
      </c>
      <c r="J15" s="21">
        <f>I15</f>
        <v/>
      </c>
      <c r="K15" s="21">
        <f>J15</f>
        <v/>
      </c>
      <c r="L15" s="21">
        <f>K15</f>
        <v/>
      </c>
      <c r="M15" s="21">
        <f>L15</f>
        <v/>
      </c>
      <c r="N15" s="10" t="inlineStr">
        <is>
          <t>$M</t>
        </is>
      </c>
      <c r="O15" s="10" t="inlineStr">
        <is>
          <t>Zero: no quantified cost-savings programme disclosed. Row kept for shocks.</t>
        </is>
      </c>
    </row>
    <row r="16">
      <c r="A16" s="10" t="inlineStr">
        <is>
          <t>Baseline</t>
        </is>
      </c>
      <c r="B16" s="7" t="inlineStr">
        <is>
          <t>Other operating income / (expense), one-time items (+ = income)</t>
        </is>
      </c>
      <c r="C16" s="21">
        <f>C79</f>
        <v/>
      </c>
      <c r="D16" s="20" t="n">
        <v>30</v>
      </c>
      <c r="E16" s="20" t="n">
        <v>0</v>
      </c>
      <c r="F16" s="21">
        <f>E16</f>
        <v/>
      </c>
      <c r="G16" s="21">
        <f>F16</f>
        <v/>
      </c>
      <c r="H16" s="21">
        <f>G16</f>
        <v/>
      </c>
      <c r="I16" s="21">
        <f>H16</f>
        <v/>
      </c>
      <c r="J16" s="21">
        <f>I16</f>
        <v/>
      </c>
      <c r="K16" s="21">
        <f>J16</f>
        <v/>
      </c>
      <c r="L16" s="21">
        <f>K16</f>
        <v/>
      </c>
      <c r="M16" s="21">
        <f>L16</f>
        <v/>
      </c>
      <c r="N16" s="10" t="inlineStr">
        <is>
          <t>$M</t>
        </is>
      </c>
      <c r="O16" s="10" t="inlineStr">
        <is>
          <t>FY2027 NA: +30 tariff refunds expected by management; impairments/restructuring assumed nil going forward.</t>
        </is>
      </c>
    </row>
    <row r="17">
      <c r="A17" s="10" t="inlineStr">
        <is>
          <t>Baseline</t>
        </is>
      </c>
      <c r="B17" s="7" t="inlineStr">
        <is>
          <t>Net yield on invested assets (cash &amp; equivalents)</t>
        </is>
      </c>
      <c r="D17" s="18" t="n">
        <v>0.007</v>
      </c>
      <c r="E17" s="19">
        <f>D17</f>
        <v/>
      </c>
      <c r="F17" s="19">
        <f>E17</f>
        <v/>
      </c>
      <c r="G17" s="19">
        <f>F17</f>
        <v/>
      </c>
      <c r="H17" s="19">
        <f>G17</f>
        <v/>
      </c>
      <c r="I17" s="19">
        <f>H17</f>
        <v/>
      </c>
      <c r="J17" s="19">
        <f>I17</f>
        <v/>
      </c>
      <c r="K17" s="19">
        <f>J17</f>
        <v/>
      </c>
      <c r="L17" s="19">
        <f>K17</f>
        <v/>
      </c>
      <c r="M17" s="19">
        <f>L17</f>
        <v/>
      </c>
      <c r="N17" s="10" t="inlineStr">
        <is>
          <t>% of prior-yr cash</t>
        </is>
      </c>
      <c r="O17" s="10" t="inlineStr">
        <is>
          <t>Calibrated: reported net interest income was only 4.0 (FY26) and 9.8 (FY25) on 600-900 of cash.</t>
        </is>
      </c>
    </row>
    <row r="18">
      <c r="A18" s="10" t="inlineStr">
        <is>
          <t>Baseline</t>
        </is>
      </c>
      <c r="B18" s="7" t="inlineStr">
        <is>
          <t>Interest rate on debt (ABL revolver; debt is zero in baseline)</t>
        </is>
      </c>
      <c r="D18" s="18" t="n">
        <v>0.065</v>
      </c>
      <c r="E18" s="19">
        <f>D18</f>
        <v/>
      </c>
      <c r="F18" s="19">
        <f>E18</f>
        <v/>
      </c>
      <c r="G18" s="19">
        <f>F18</f>
        <v/>
      </c>
      <c r="H18" s="19">
        <f>G18</f>
        <v/>
      </c>
      <c r="I18" s="19">
        <f>H18</f>
        <v/>
      </c>
      <c r="J18" s="19">
        <f>I18</f>
        <v/>
      </c>
      <c r="K18" s="19">
        <f>J18</f>
        <v/>
      </c>
      <c r="L18" s="19">
        <f>K18</f>
        <v/>
      </c>
      <c r="M18" s="19">
        <f>L18</f>
        <v/>
      </c>
      <c r="N18" s="10" t="inlineStr">
        <is>
          <t>% of prior-yr debt</t>
        </is>
      </c>
      <c r="O18" s="10" t="inlineStr">
        <is>
          <t>No funded debt at FY2026A; rate kept for interest-rate / liquidity shocks.</t>
        </is>
      </c>
    </row>
    <row r="19">
      <c r="A19" s="10" t="inlineStr">
        <is>
          <t>Baseline</t>
        </is>
      </c>
      <c r="B19" s="7" t="inlineStr">
        <is>
          <t>Effective income tax rate</t>
        </is>
      </c>
      <c r="C19" s="19">
        <f>IF(C84=0,0,C86/C84)</f>
        <v/>
      </c>
      <c r="D19" s="18" t="n">
        <v>0.24</v>
      </c>
      <c r="E19" s="19">
        <f>D19</f>
        <v/>
      </c>
      <c r="F19" s="19">
        <f>E19</f>
        <v/>
      </c>
      <c r="G19" s="19">
        <f>F19</f>
        <v/>
      </c>
      <c r="H19" s="19">
        <f>G19</f>
        <v/>
      </c>
      <c r="I19" s="19">
        <f>H19</f>
        <v/>
      </c>
      <c r="J19" s="19">
        <f>I19</f>
        <v/>
      </c>
      <c r="K19" s="19">
        <f>J19</f>
        <v/>
      </c>
      <c r="L19" s="19">
        <f>K19</f>
        <v/>
      </c>
      <c r="M19" s="19">
        <f>L19</f>
        <v/>
      </c>
      <c r="N19" s="10" t="inlineStr">
        <is>
          <t>% of pre-tax</t>
        </is>
      </c>
      <c r="O19" s="10" t="inlineStr">
        <is>
          <t>FY2027 guidance 23-25% (NA/OTHER 24%); UK statutory 25% for INTL.</t>
        </is>
      </c>
    </row>
    <row r="20">
      <c r="A20" s="10" t="inlineStr">
        <is>
          <t>Baseline</t>
        </is>
      </c>
      <c r="B20" s="7" t="inlineStr">
        <is>
          <t>Discount rate (cost of equity, CAPM) - single rate for the segment</t>
        </is>
      </c>
      <c r="D20" s="18" t="n">
        <v>0.105</v>
      </c>
      <c r="N20" s="10" t="inlineStr">
        <is>
          <t>% p.a.</t>
        </is>
      </c>
      <c r="O20" s="10" t="inlineStr">
        <is>
          <t>CAPM: 5.24% + 1.25 x 4.20% = 10.5%; INTL +1.5pp premium. Single rate in the FY2027 column (as in Pear).</t>
        </is>
      </c>
    </row>
    <row r="22">
      <c r="A22" s="12" t="inlineStr">
        <is>
          <t>SHOCK TO ASSUMPTIONS - additive shocks, all ZERO in the baseline (for use in Assignment 3(d))</t>
        </is>
      </c>
      <c r="B22" s="13" t="n"/>
      <c r="C22" s="13" t="n"/>
      <c r="D22" s="13" t="n"/>
      <c r="E22" s="13" t="n"/>
      <c r="F22" s="13" t="n"/>
      <c r="G22" s="13" t="n"/>
      <c r="H22" s="13" t="n"/>
      <c r="I22" s="13" t="n"/>
      <c r="J22" s="13" t="n"/>
      <c r="K22" s="13" t="n"/>
      <c r="L22" s="13" t="n"/>
      <c r="M22" s="13" t="n"/>
      <c r="N22" s="13" t="n"/>
      <c r="O22" s="13" t="n"/>
    </row>
    <row r="23">
      <c r="A23" s="10" t="inlineStr">
        <is>
          <t>Shock</t>
        </is>
      </c>
      <c r="B23" s="7" t="inlineStr">
        <is>
          <t>Shock: Gross store openings (number of stores)</t>
        </is>
      </c>
      <c r="D23" s="17" t="n">
        <v>0</v>
      </c>
      <c r="E23" s="17" t="n">
        <v>0</v>
      </c>
      <c r="F23" s="17" t="n">
        <v>0</v>
      </c>
      <c r="G23" s="17" t="n">
        <v>0</v>
      </c>
      <c r="H23" s="17" t="n">
        <v>0</v>
      </c>
      <c r="I23" s="17" t="n">
        <v>0</v>
      </c>
      <c r="J23" s="17" t="n">
        <v>0</v>
      </c>
      <c r="K23" s="17" t="n">
        <v>0</v>
      </c>
      <c r="L23" s="17" t="n">
        <v>0</v>
      </c>
      <c r="M23" s="17" t="n">
        <v>0</v>
      </c>
      <c r="N23" s="10" t="inlineStr">
        <is>
          <t># stores</t>
        </is>
      </c>
    </row>
    <row r="24">
      <c r="A24" s="10" t="inlineStr">
        <is>
          <t>Shock</t>
        </is>
      </c>
      <c r="B24" s="7" t="inlineStr">
        <is>
          <t>Shock: Store closures (number of stores)</t>
        </is>
      </c>
      <c r="D24" s="17" t="n">
        <v>0</v>
      </c>
      <c r="E24" s="17" t="n">
        <v>0</v>
      </c>
      <c r="F24" s="17" t="n">
        <v>0</v>
      </c>
      <c r="G24" s="17" t="n">
        <v>0</v>
      </c>
      <c r="H24" s="17" t="n">
        <v>0</v>
      </c>
      <c r="I24" s="17" t="n">
        <v>0</v>
      </c>
      <c r="J24" s="17" t="n">
        <v>0</v>
      </c>
      <c r="K24" s="17" t="n">
        <v>0</v>
      </c>
      <c r="L24" s="17" t="n">
        <v>0</v>
      </c>
      <c r="M24" s="17" t="n">
        <v>0</v>
      </c>
      <c r="N24" s="10" t="inlineStr">
        <is>
          <t># stores</t>
        </is>
      </c>
    </row>
    <row r="25">
      <c r="A25" s="10" t="inlineStr">
        <is>
          <t>Shock</t>
        </is>
      </c>
      <c r="B25" s="7" t="inlineStr">
        <is>
          <t>Shock: Same-store sales growth (applied to merchandise sales per average store)</t>
        </is>
      </c>
      <c r="D25" s="18" t="n">
        <v>0</v>
      </c>
      <c r="E25" s="18" t="n">
        <v>0</v>
      </c>
      <c r="F25" s="18" t="n">
        <v>0</v>
      </c>
      <c r="G25" s="18" t="n">
        <v>0</v>
      </c>
      <c r="H25" s="18" t="n">
        <v>0</v>
      </c>
      <c r="I25" s="18" t="n">
        <v>0</v>
      </c>
      <c r="J25" s="18" t="n">
        <v>0</v>
      </c>
      <c r="K25" s="18" t="n">
        <v>0</v>
      </c>
      <c r="L25" s="18" t="n">
        <v>0</v>
      </c>
      <c r="M25" s="18" t="n">
        <v>0</v>
      </c>
      <c r="N25" s="10" t="inlineStr">
        <is>
          <t>% p.a.</t>
        </is>
      </c>
    </row>
    <row r="26">
      <c r="A26" s="10" t="inlineStr">
        <is>
          <t>Shock</t>
        </is>
      </c>
      <c r="B26" s="7" t="inlineStr">
        <is>
          <t>Shock: E-commerce merchandise sales growth</t>
        </is>
      </c>
      <c r="D26" s="18" t="n">
        <v>0</v>
      </c>
      <c r="E26" s="18" t="n">
        <v>0</v>
      </c>
      <c r="F26" s="18" t="n">
        <v>0</v>
      </c>
      <c r="G26" s="18" t="n">
        <v>0</v>
      </c>
      <c r="H26" s="18" t="n">
        <v>0</v>
      </c>
      <c r="I26" s="18" t="n">
        <v>0</v>
      </c>
      <c r="J26" s="18" t="n">
        <v>0</v>
      </c>
      <c r="K26" s="18" t="n">
        <v>0</v>
      </c>
      <c r="L26" s="18" t="n">
        <v>0</v>
      </c>
      <c r="M26" s="18" t="n">
        <v>0</v>
      </c>
      <c r="N26" s="10" t="inlineStr">
        <is>
          <t>% p.a.</t>
        </is>
      </c>
    </row>
    <row r="27">
      <c r="A27" s="10" t="inlineStr">
        <is>
          <t>Shock</t>
        </is>
      </c>
      <c r="B27" s="7" t="inlineStr">
        <is>
          <t>Shock: Services attach rate (services revenue as % of merchandise sales)</t>
        </is>
      </c>
      <c r="D27" s="18" t="n">
        <v>0</v>
      </c>
      <c r="E27" s="18" t="n">
        <v>0</v>
      </c>
      <c r="F27" s="18" t="n">
        <v>0</v>
      </c>
      <c r="G27" s="18" t="n">
        <v>0</v>
      </c>
      <c r="H27" s="18" t="n">
        <v>0</v>
      </c>
      <c r="I27" s="18" t="n">
        <v>0</v>
      </c>
      <c r="J27" s="18" t="n">
        <v>0</v>
      </c>
      <c r="K27" s="18" t="n">
        <v>0</v>
      </c>
      <c r="L27" s="18" t="n">
        <v>0</v>
      </c>
      <c r="M27" s="18" t="n">
        <v>0</v>
      </c>
      <c r="N27" s="10" t="inlineStr">
        <is>
          <t>% of merch.</t>
        </is>
      </c>
    </row>
    <row r="28">
      <c r="A28" s="10" t="inlineStr">
        <is>
          <t>Shock</t>
        </is>
      </c>
      <c r="B28" s="7" t="inlineStr">
        <is>
          <t>Shock: Other (non-retail / diamond sourcing) revenue growth</t>
        </is>
      </c>
      <c r="D28" s="18" t="n">
        <v>0</v>
      </c>
      <c r="E28" s="18" t="n">
        <v>0</v>
      </c>
      <c r="F28" s="18" t="n">
        <v>0</v>
      </c>
      <c r="G28" s="18" t="n">
        <v>0</v>
      </c>
      <c r="H28" s="18" t="n">
        <v>0</v>
      </c>
      <c r="I28" s="18" t="n">
        <v>0</v>
      </c>
      <c r="J28" s="18" t="n">
        <v>0</v>
      </c>
      <c r="K28" s="18" t="n">
        <v>0</v>
      </c>
      <c r="L28" s="18" t="n">
        <v>0</v>
      </c>
      <c r="M28" s="18" t="n">
        <v>0</v>
      </c>
      <c r="N28" s="10" t="inlineStr">
        <is>
          <t>% p.a.</t>
        </is>
      </c>
    </row>
    <row r="29">
      <c r="A29" s="10" t="inlineStr">
        <is>
          <t>Shock</t>
        </is>
      </c>
      <c r="B29" s="7" t="inlineStr">
        <is>
          <t>Shock: Cost of sales (incl. store occupancy) as % of total sales</t>
        </is>
      </c>
      <c r="D29" s="18" t="n">
        <v>0</v>
      </c>
      <c r="E29" s="18" t="n">
        <v>0</v>
      </c>
      <c r="F29" s="18" t="n">
        <v>0</v>
      </c>
      <c r="G29" s="18" t="n">
        <v>0</v>
      </c>
      <c r="H29" s="18" t="n">
        <v>0</v>
      </c>
      <c r="I29" s="18" t="n">
        <v>0</v>
      </c>
      <c r="J29" s="18" t="n">
        <v>0</v>
      </c>
      <c r="K29" s="18" t="n">
        <v>0</v>
      </c>
      <c r="L29" s="18" t="n">
        <v>0</v>
      </c>
      <c r="M29" s="18" t="n">
        <v>0</v>
      </c>
      <c r="N29" s="10" t="inlineStr">
        <is>
          <t>% of sales</t>
        </is>
      </c>
    </row>
    <row r="30">
      <c r="A30" s="10" t="inlineStr">
        <is>
          <t>Shock</t>
        </is>
      </c>
      <c r="B30" s="7" t="inlineStr">
        <is>
          <t>Shock: Variable SG&amp;A (store payroll, advertising, credit) as % of total sales</t>
        </is>
      </c>
      <c r="D30" s="18" t="n">
        <v>0</v>
      </c>
      <c r="E30" s="18" t="n">
        <v>0</v>
      </c>
      <c r="F30" s="18" t="n">
        <v>0</v>
      </c>
      <c r="G30" s="18" t="n">
        <v>0</v>
      </c>
      <c r="H30" s="18" t="n">
        <v>0</v>
      </c>
      <c r="I30" s="18" t="n">
        <v>0</v>
      </c>
      <c r="J30" s="18" t="n">
        <v>0</v>
      </c>
      <c r="K30" s="18" t="n">
        <v>0</v>
      </c>
      <c r="L30" s="18" t="n">
        <v>0</v>
      </c>
      <c r="M30" s="18" t="n">
        <v>0</v>
      </c>
      <c r="N30" s="10" t="inlineStr">
        <is>
          <t>% of sales</t>
        </is>
      </c>
    </row>
    <row r="31">
      <c r="A31" s="10" t="inlineStr">
        <is>
          <t>Shock</t>
        </is>
      </c>
      <c r="B31" s="7" t="inlineStr">
        <is>
          <t>Shock: Fixed SG&amp;A inflation (corporate, support, fixed store overhead)</t>
        </is>
      </c>
      <c r="D31" s="18" t="n">
        <v>0</v>
      </c>
      <c r="E31" s="18" t="n">
        <v>0</v>
      </c>
      <c r="F31" s="18" t="n">
        <v>0</v>
      </c>
      <c r="G31" s="18" t="n">
        <v>0</v>
      </c>
      <c r="H31" s="18" t="n">
        <v>0</v>
      </c>
      <c r="I31" s="18" t="n">
        <v>0</v>
      </c>
      <c r="J31" s="18" t="n">
        <v>0</v>
      </c>
      <c r="K31" s="18" t="n">
        <v>0</v>
      </c>
      <c r="L31" s="18" t="n">
        <v>0</v>
      </c>
      <c r="M31" s="18" t="n">
        <v>0</v>
      </c>
      <c r="N31" s="10" t="inlineStr">
        <is>
          <t>% p.a.</t>
        </is>
      </c>
    </row>
    <row r="32">
      <c r="A32" s="10" t="inlineStr">
        <is>
          <t>Shock</t>
        </is>
      </c>
      <c r="B32" s="7" t="inlineStr">
        <is>
          <t>Shock: Cost-savings initiatives (incremental run-rate cut to fixed SG&amp;A)</t>
        </is>
      </c>
      <c r="D32" s="20" t="n">
        <v>0</v>
      </c>
      <c r="E32" s="20" t="n">
        <v>0</v>
      </c>
      <c r="F32" s="20" t="n">
        <v>0</v>
      </c>
      <c r="G32" s="20" t="n">
        <v>0</v>
      </c>
      <c r="H32" s="20" t="n">
        <v>0</v>
      </c>
      <c r="I32" s="20" t="n">
        <v>0</v>
      </c>
      <c r="J32" s="20" t="n">
        <v>0</v>
      </c>
      <c r="K32" s="20" t="n">
        <v>0</v>
      </c>
      <c r="L32" s="20" t="n">
        <v>0</v>
      </c>
      <c r="M32" s="20" t="n">
        <v>0</v>
      </c>
      <c r="N32" s="10" t="inlineStr">
        <is>
          <t>$M</t>
        </is>
      </c>
    </row>
    <row r="33">
      <c r="A33" s="10" t="inlineStr">
        <is>
          <t>Shock</t>
        </is>
      </c>
      <c r="B33" s="7" t="inlineStr">
        <is>
          <t>Shock: Other operating income / (expense), one-time items (+ = income)</t>
        </is>
      </c>
      <c r="D33" s="20" t="n">
        <v>0</v>
      </c>
      <c r="E33" s="20" t="n">
        <v>0</v>
      </c>
      <c r="F33" s="20" t="n">
        <v>0</v>
      </c>
      <c r="G33" s="20" t="n">
        <v>0</v>
      </c>
      <c r="H33" s="20" t="n">
        <v>0</v>
      </c>
      <c r="I33" s="20" t="n">
        <v>0</v>
      </c>
      <c r="J33" s="20" t="n">
        <v>0</v>
      </c>
      <c r="K33" s="20" t="n">
        <v>0</v>
      </c>
      <c r="L33" s="20" t="n">
        <v>0</v>
      </c>
      <c r="M33" s="20" t="n">
        <v>0</v>
      </c>
      <c r="N33" s="10" t="inlineStr">
        <is>
          <t>$M</t>
        </is>
      </c>
    </row>
    <row r="34">
      <c r="A34" s="10" t="inlineStr">
        <is>
          <t>Shock</t>
        </is>
      </c>
      <c r="B34" s="7" t="inlineStr">
        <is>
          <t>Shock: Net yield on invested assets (cash &amp; equivalents)</t>
        </is>
      </c>
      <c r="D34" s="18" t="n">
        <v>0</v>
      </c>
      <c r="E34" s="18" t="n">
        <v>0</v>
      </c>
      <c r="F34" s="18" t="n">
        <v>0</v>
      </c>
      <c r="G34" s="18" t="n">
        <v>0</v>
      </c>
      <c r="H34" s="18" t="n">
        <v>0</v>
      </c>
      <c r="I34" s="18" t="n">
        <v>0</v>
      </c>
      <c r="J34" s="18" t="n">
        <v>0</v>
      </c>
      <c r="K34" s="18" t="n">
        <v>0</v>
      </c>
      <c r="L34" s="18" t="n">
        <v>0</v>
      </c>
      <c r="M34" s="18" t="n">
        <v>0</v>
      </c>
      <c r="N34" s="10" t="inlineStr">
        <is>
          <t>% of prior-yr cash</t>
        </is>
      </c>
    </row>
    <row r="35">
      <c r="A35" s="10" t="inlineStr">
        <is>
          <t>Shock</t>
        </is>
      </c>
      <c r="B35" s="7" t="inlineStr">
        <is>
          <t>Shock: Interest rate on debt (ABL revolver; debt is zero in baseline)</t>
        </is>
      </c>
      <c r="D35" s="18" t="n">
        <v>0</v>
      </c>
      <c r="E35" s="18" t="n">
        <v>0</v>
      </c>
      <c r="F35" s="18" t="n">
        <v>0</v>
      </c>
      <c r="G35" s="18" t="n">
        <v>0</v>
      </c>
      <c r="H35" s="18" t="n">
        <v>0</v>
      </c>
      <c r="I35" s="18" t="n">
        <v>0</v>
      </c>
      <c r="J35" s="18" t="n">
        <v>0</v>
      </c>
      <c r="K35" s="18" t="n">
        <v>0</v>
      </c>
      <c r="L35" s="18" t="n">
        <v>0</v>
      </c>
      <c r="M35" s="18" t="n">
        <v>0</v>
      </c>
      <c r="N35" s="10" t="inlineStr">
        <is>
          <t>% of prior-yr debt</t>
        </is>
      </c>
    </row>
    <row r="36">
      <c r="A36" s="10" t="inlineStr">
        <is>
          <t>Shock</t>
        </is>
      </c>
      <c r="B36" s="7" t="inlineStr">
        <is>
          <t>Shock: Effective income tax rate</t>
        </is>
      </c>
      <c r="D36" s="18" t="n">
        <v>0</v>
      </c>
      <c r="E36" s="18" t="n">
        <v>0</v>
      </c>
      <c r="F36" s="18" t="n">
        <v>0</v>
      </c>
      <c r="G36" s="18" t="n">
        <v>0</v>
      </c>
      <c r="H36" s="18" t="n">
        <v>0</v>
      </c>
      <c r="I36" s="18" t="n">
        <v>0</v>
      </c>
      <c r="J36" s="18" t="n">
        <v>0</v>
      </c>
      <c r="K36" s="18" t="n">
        <v>0</v>
      </c>
      <c r="L36" s="18" t="n">
        <v>0</v>
      </c>
      <c r="M36" s="18" t="n">
        <v>0</v>
      </c>
      <c r="N36" s="10" t="inlineStr">
        <is>
          <t>% of pre-tax</t>
        </is>
      </c>
    </row>
    <row r="37">
      <c r="A37" s="10" t="inlineStr">
        <is>
          <t>Shock</t>
        </is>
      </c>
      <c r="B37" s="7" t="inlineStr">
        <is>
          <t>Shock: Discount rate (cost of equity, CAPM) - single rate for the segment</t>
        </is>
      </c>
      <c r="D37" s="18" t="n">
        <v>0</v>
      </c>
      <c r="N37" s="10" t="inlineStr">
        <is>
          <t>% p.a.</t>
        </is>
      </c>
    </row>
    <row r="39">
      <c r="A39" s="12" t="inlineStr">
        <is>
          <t>ASSUMPTIONS FOR SCENARIO RUN  (every cell = baseline + shock; the projection reads ONLY this block)</t>
        </is>
      </c>
      <c r="B39" s="13" t="n"/>
      <c r="C39" s="13" t="n"/>
      <c r="D39" s="13" t="n"/>
      <c r="E39" s="13" t="n"/>
      <c r="F39" s="13" t="n"/>
      <c r="G39" s="13" t="n"/>
      <c r="H39" s="13" t="n"/>
      <c r="I39" s="13" t="n"/>
      <c r="J39" s="13" t="n"/>
      <c r="K39" s="13" t="n"/>
      <c r="L39" s="13" t="n"/>
      <c r="M39" s="13" t="n"/>
      <c r="N39" s="13" t="n"/>
      <c r="O39" s="13" t="n"/>
    </row>
    <row r="40">
      <c r="A40" s="10" t="inlineStr">
        <is>
          <t>Scenario</t>
        </is>
      </c>
      <c r="B40" s="7" t="inlineStr">
        <is>
          <t>Scenario: Gross store openings (number of stores)</t>
        </is>
      </c>
      <c r="D40" s="16">
        <f>D6+D23</f>
        <v/>
      </c>
      <c r="E40" s="16">
        <f>E6+E23</f>
        <v/>
      </c>
      <c r="F40" s="16">
        <f>F6+F23</f>
        <v/>
      </c>
      <c r="G40" s="16">
        <f>G6+G23</f>
        <v/>
      </c>
      <c r="H40" s="16">
        <f>H6+H23</f>
        <v/>
      </c>
      <c r="I40" s="16">
        <f>I6+I23</f>
        <v/>
      </c>
      <c r="J40" s="16">
        <f>J6+J23</f>
        <v/>
      </c>
      <c r="K40" s="16">
        <f>K6+K23</f>
        <v/>
      </c>
      <c r="L40" s="16">
        <f>L6+L23</f>
        <v/>
      </c>
      <c r="M40" s="16">
        <f>M6+M23</f>
        <v/>
      </c>
      <c r="N40" s="10" t="inlineStr">
        <is>
          <t># stores</t>
        </is>
      </c>
    </row>
    <row r="41">
      <c r="A41" s="10" t="inlineStr">
        <is>
          <t>Scenario</t>
        </is>
      </c>
      <c r="B41" s="7" t="inlineStr">
        <is>
          <t>Scenario: Store closures (number of stores)</t>
        </is>
      </c>
      <c r="D41" s="16">
        <f>D7+D24</f>
        <v/>
      </c>
      <c r="E41" s="16">
        <f>E7+E24</f>
        <v/>
      </c>
      <c r="F41" s="16">
        <f>F7+F24</f>
        <v/>
      </c>
      <c r="G41" s="16">
        <f>G7+G24</f>
        <v/>
      </c>
      <c r="H41" s="16">
        <f>H7+H24</f>
        <v/>
      </c>
      <c r="I41" s="16">
        <f>I7+I24</f>
        <v/>
      </c>
      <c r="J41" s="16">
        <f>J7+J24</f>
        <v/>
      </c>
      <c r="K41" s="16">
        <f>K7+K24</f>
        <v/>
      </c>
      <c r="L41" s="16">
        <f>L7+L24</f>
        <v/>
      </c>
      <c r="M41" s="16">
        <f>M7+M24</f>
        <v/>
      </c>
      <c r="N41" s="10" t="inlineStr">
        <is>
          <t># stores</t>
        </is>
      </c>
    </row>
    <row r="42">
      <c r="A42" s="10" t="inlineStr">
        <is>
          <t>Scenario</t>
        </is>
      </c>
      <c r="B42" s="7" t="inlineStr">
        <is>
          <t>Scenario: Same-store sales growth (applied to merchandise sales per average store)</t>
        </is>
      </c>
      <c r="D42" s="19">
        <f>D8+D25</f>
        <v/>
      </c>
      <c r="E42" s="19">
        <f>E8+E25</f>
        <v/>
      </c>
      <c r="F42" s="19">
        <f>F8+F25</f>
        <v/>
      </c>
      <c r="G42" s="19">
        <f>G8+G25</f>
        <v/>
      </c>
      <c r="H42" s="19">
        <f>H8+H25</f>
        <v/>
      </c>
      <c r="I42" s="19">
        <f>I8+I25</f>
        <v/>
      </c>
      <c r="J42" s="19">
        <f>J8+J25</f>
        <v/>
      </c>
      <c r="K42" s="19">
        <f>K8+K25</f>
        <v/>
      </c>
      <c r="L42" s="19">
        <f>L8+L25</f>
        <v/>
      </c>
      <c r="M42" s="19">
        <f>M8+M25</f>
        <v/>
      </c>
      <c r="N42" s="10" t="inlineStr">
        <is>
          <t>% p.a.</t>
        </is>
      </c>
    </row>
    <row r="43">
      <c r="A43" s="10" t="inlineStr">
        <is>
          <t>Scenario</t>
        </is>
      </c>
      <c r="B43" s="7" t="inlineStr">
        <is>
          <t>Scenario: E-commerce merchandise sales growth</t>
        </is>
      </c>
      <c r="D43" s="19">
        <f>D9+D26</f>
        <v/>
      </c>
      <c r="E43" s="19">
        <f>E9+E26</f>
        <v/>
      </c>
      <c r="F43" s="19">
        <f>F9+F26</f>
        <v/>
      </c>
      <c r="G43" s="19">
        <f>G9+G26</f>
        <v/>
      </c>
      <c r="H43" s="19">
        <f>H9+H26</f>
        <v/>
      </c>
      <c r="I43" s="19">
        <f>I9+I26</f>
        <v/>
      </c>
      <c r="J43" s="19">
        <f>J9+J26</f>
        <v/>
      </c>
      <c r="K43" s="19">
        <f>K9+K26</f>
        <v/>
      </c>
      <c r="L43" s="19">
        <f>L9+L26</f>
        <v/>
      </c>
      <c r="M43" s="19">
        <f>M9+M26</f>
        <v/>
      </c>
      <c r="N43" s="10" t="inlineStr">
        <is>
          <t>% p.a.</t>
        </is>
      </c>
    </row>
    <row r="44">
      <c r="A44" s="10" t="inlineStr">
        <is>
          <t>Scenario</t>
        </is>
      </c>
      <c r="B44" s="7" t="inlineStr">
        <is>
          <t>Scenario: Services attach rate (services revenue as % of merchandise sales)</t>
        </is>
      </c>
      <c r="D44" s="19">
        <f>D10+D27</f>
        <v/>
      </c>
      <c r="E44" s="19">
        <f>E10+E27</f>
        <v/>
      </c>
      <c r="F44" s="19">
        <f>F10+F27</f>
        <v/>
      </c>
      <c r="G44" s="19">
        <f>G10+G27</f>
        <v/>
      </c>
      <c r="H44" s="19">
        <f>H10+H27</f>
        <v/>
      </c>
      <c r="I44" s="19">
        <f>I10+I27</f>
        <v/>
      </c>
      <c r="J44" s="19">
        <f>J10+J27</f>
        <v/>
      </c>
      <c r="K44" s="19">
        <f>K10+K27</f>
        <v/>
      </c>
      <c r="L44" s="19">
        <f>L10+L27</f>
        <v/>
      </c>
      <c r="M44" s="19">
        <f>M10+M27</f>
        <v/>
      </c>
      <c r="N44" s="10" t="inlineStr">
        <is>
          <t>% of merch.</t>
        </is>
      </c>
    </row>
    <row r="45">
      <c r="A45" s="10" t="inlineStr">
        <is>
          <t>Scenario</t>
        </is>
      </c>
      <c r="B45" s="7" t="inlineStr">
        <is>
          <t>Scenario: Other (non-retail / diamond sourcing) revenue growth</t>
        </is>
      </c>
      <c r="D45" s="19">
        <f>D11+D28</f>
        <v/>
      </c>
      <c r="E45" s="19">
        <f>E11+E28</f>
        <v/>
      </c>
      <c r="F45" s="19">
        <f>F11+F28</f>
        <v/>
      </c>
      <c r="G45" s="19">
        <f>G11+G28</f>
        <v/>
      </c>
      <c r="H45" s="19">
        <f>H11+H28</f>
        <v/>
      </c>
      <c r="I45" s="19">
        <f>I11+I28</f>
        <v/>
      </c>
      <c r="J45" s="19">
        <f>J11+J28</f>
        <v/>
      </c>
      <c r="K45" s="19">
        <f>K11+K28</f>
        <v/>
      </c>
      <c r="L45" s="19">
        <f>L11+L28</f>
        <v/>
      </c>
      <c r="M45" s="19">
        <f>M11+M28</f>
        <v/>
      </c>
      <c r="N45" s="10" t="inlineStr">
        <is>
          <t>% p.a.</t>
        </is>
      </c>
    </row>
    <row r="46">
      <c r="A46" s="10" t="inlineStr">
        <is>
          <t>Scenario</t>
        </is>
      </c>
      <c r="B46" s="7" t="inlineStr">
        <is>
          <t>Scenario: Cost of sales (incl. store occupancy) as % of total sales</t>
        </is>
      </c>
      <c r="D46" s="19">
        <f>D12+D29</f>
        <v/>
      </c>
      <c r="E46" s="19">
        <f>E12+E29</f>
        <v/>
      </c>
      <c r="F46" s="19">
        <f>F12+F29</f>
        <v/>
      </c>
      <c r="G46" s="19">
        <f>G12+G29</f>
        <v/>
      </c>
      <c r="H46" s="19">
        <f>H12+H29</f>
        <v/>
      </c>
      <c r="I46" s="19">
        <f>I12+I29</f>
        <v/>
      </c>
      <c r="J46" s="19">
        <f>J12+J29</f>
        <v/>
      </c>
      <c r="K46" s="19">
        <f>K12+K29</f>
        <v/>
      </c>
      <c r="L46" s="19">
        <f>L12+L29</f>
        <v/>
      </c>
      <c r="M46" s="19">
        <f>M12+M29</f>
        <v/>
      </c>
      <c r="N46" s="10" t="inlineStr">
        <is>
          <t>% of sales</t>
        </is>
      </c>
    </row>
    <row r="47">
      <c r="A47" s="10" t="inlineStr">
        <is>
          <t>Scenario</t>
        </is>
      </c>
      <c r="B47" s="7" t="inlineStr">
        <is>
          <t>Scenario: Variable SG&amp;A (store payroll, advertising, credit) as % of total sales</t>
        </is>
      </c>
      <c r="D47" s="19">
        <f>D13+D30</f>
        <v/>
      </c>
      <c r="E47" s="19">
        <f>E13+E30</f>
        <v/>
      </c>
      <c r="F47" s="19">
        <f>F13+F30</f>
        <v/>
      </c>
      <c r="G47" s="19">
        <f>G13+G30</f>
        <v/>
      </c>
      <c r="H47" s="19">
        <f>H13+H30</f>
        <v/>
      </c>
      <c r="I47" s="19">
        <f>I13+I30</f>
        <v/>
      </c>
      <c r="J47" s="19">
        <f>J13+J30</f>
        <v/>
      </c>
      <c r="K47" s="19">
        <f>K13+K30</f>
        <v/>
      </c>
      <c r="L47" s="19">
        <f>L13+L30</f>
        <v/>
      </c>
      <c r="M47" s="19">
        <f>M13+M30</f>
        <v/>
      </c>
      <c r="N47" s="10" t="inlineStr">
        <is>
          <t>% of sales</t>
        </is>
      </c>
    </row>
    <row r="48">
      <c r="A48" s="10" t="inlineStr">
        <is>
          <t>Scenario</t>
        </is>
      </c>
      <c r="B48" s="7" t="inlineStr">
        <is>
          <t>Scenario: Fixed SG&amp;A inflation (corporate, support, fixed store overhead)</t>
        </is>
      </c>
      <c r="D48" s="19">
        <f>D14+D31</f>
        <v/>
      </c>
      <c r="E48" s="19">
        <f>E14+E31</f>
        <v/>
      </c>
      <c r="F48" s="19">
        <f>F14+F31</f>
        <v/>
      </c>
      <c r="G48" s="19">
        <f>G14+G31</f>
        <v/>
      </c>
      <c r="H48" s="19">
        <f>H14+H31</f>
        <v/>
      </c>
      <c r="I48" s="19">
        <f>I14+I31</f>
        <v/>
      </c>
      <c r="J48" s="19">
        <f>J14+J31</f>
        <v/>
      </c>
      <c r="K48" s="19">
        <f>K14+K31</f>
        <v/>
      </c>
      <c r="L48" s="19">
        <f>L14+L31</f>
        <v/>
      </c>
      <c r="M48" s="19">
        <f>M14+M31</f>
        <v/>
      </c>
      <c r="N48" s="10" t="inlineStr">
        <is>
          <t>% p.a.</t>
        </is>
      </c>
    </row>
    <row r="49">
      <c r="A49" s="10" t="inlineStr">
        <is>
          <t>Scenario</t>
        </is>
      </c>
      <c r="B49" s="7" t="inlineStr">
        <is>
          <t>Scenario: Cost-savings initiatives (incremental run-rate cut to fixed SG&amp;A)</t>
        </is>
      </c>
      <c r="D49" s="21">
        <f>D15+D32</f>
        <v/>
      </c>
      <c r="E49" s="21">
        <f>E15+E32</f>
        <v/>
      </c>
      <c r="F49" s="21">
        <f>F15+F32</f>
        <v/>
      </c>
      <c r="G49" s="21">
        <f>G15+G32</f>
        <v/>
      </c>
      <c r="H49" s="21">
        <f>H15+H32</f>
        <v/>
      </c>
      <c r="I49" s="21">
        <f>I15+I32</f>
        <v/>
      </c>
      <c r="J49" s="21">
        <f>J15+J32</f>
        <v/>
      </c>
      <c r="K49" s="21">
        <f>K15+K32</f>
        <v/>
      </c>
      <c r="L49" s="21">
        <f>L15+L32</f>
        <v/>
      </c>
      <c r="M49" s="21">
        <f>M15+M32</f>
        <v/>
      </c>
      <c r="N49" s="10" t="inlineStr">
        <is>
          <t>$M</t>
        </is>
      </c>
    </row>
    <row r="50">
      <c r="A50" s="10" t="inlineStr">
        <is>
          <t>Scenario</t>
        </is>
      </c>
      <c r="B50" s="7" t="inlineStr">
        <is>
          <t>Scenario: Other operating income / (expense), one-time items (+ = income)</t>
        </is>
      </c>
      <c r="D50" s="21">
        <f>D16+D33</f>
        <v/>
      </c>
      <c r="E50" s="21">
        <f>E16+E33</f>
        <v/>
      </c>
      <c r="F50" s="21">
        <f>F16+F33</f>
        <v/>
      </c>
      <c r="G50" s="21">
        <f>G16+G33</f>
        <v/>
      </c>
      <c r="H50" s="21">
        <f>H16+H33</f>
        <v/>
      </c>
      <c r="I50" s="21">
        <f>I16+I33</f>
        <v/>
      </c>
      <c r="J50" s="21">
        <f>J16+J33</f>
        <v/>
      </c>
      <c r="K50" s="21">
        <f>K16+K33</f>
        <v/>
      </c>
      <c r="L50" s="21">
        <f>L16+L33</f>
        <v/>
      </c>
      <c r="M50" s="21">
        <f>M16+M33</f>
        <v/>
      </c>
      <c r="N50" s="10" t="inlineStr">
        <is>
          <t>$M</t>
        </is>
      </c>
    </row>
    <row r="51">
      <c r="A51" s="10" t="inlineStr">
        <is>
          <t>Scenario</t>
        </is>
      </c>
      <c r="B51" s="7" t="inlineStr">
        <is>
          <t>Scenario: Net yield on invested assets (cash &amp; equivalents)</t>
        </is>
      </c>
      <c r="D51" s="19">
        <f>D17+D34</f>
        <v/>
      </c>
      <c r="E51" s="19">
        <f>E17+E34</f>
        <v/>
      </c>
      <c r="F51" s="19">
        <f>F17+F34</f>
        <v/>
      </c>
      <c r="G51" s="19">
        <f>G17+G34</f>
        <v/>
      </c>
      <c r="H51" s="19">
        <f>H17+H34</f>
        <v/>
      </c>
      <c r="I51" s="19">
        <f>I17+I34</f>
        <v/>
      </c>
      <c r="J51" s="19">
        <f>J17+J34</f>
        <v/>
      </c>
      <c r="K51" s="19">
        <f>K17+K34</f>
        <v/>
      </c>
      <c r="L51" s="19">
        <f>L17+L34</f>
        <v/>
      </c>
      <c r="M51" s="19">
        <f>M17+M34</f>
        <v/>
      </c>
      <c r="N51" s="10" t="inlineStr">
        <is>
          <t>% of prior-yr cash</t>
        </is>
      </c>
    </row>
    <row r="52">
      <c r="A52" s="10" t="inlineStr">
        <is>
          <t>Scenario</t>
        </is>
      </c>
      <c r="B52" s="7" t="inlineStr">
        <is>
          <t>Scenario: Interest rate on debt (ABL revolver; debt is zero in baseline)</t>
        </is>
      </c>
      <c r="D52" s="19">
        <f>D18+D35</f>
        <v/>
      </c>
      <c r="E52" s="19">
        <f>E18+E35</f>
        <v/>
      </c>
      <c r="F52" s="19">
        <f>F18+F35</f>
        <v/>
      </c>
      <c r="G52" s="19">
        <f>G18+G35</f>
        <v/>
      </c>
      <c r="H52" s="19">
        <f>H18+H35</f>
        <v/>
      </c>
      <c r="I52" s="19">
        <f>I18+I35</f>
        <v/>
      </c>
      <c r="J52" s="19">
        <f>J18+J35</f>
        <v/>
      </c>
      <c r="K52" s="19">
        <f>K18+K35</f>
        <v/>
      </c>
      <c r="L52" s="19">
        <f>L18+L35</f>
        <v/>
      </c>
      <c r="M52" s="19">
        <f>M18+M35</f>
        <v/>
      </c>
      <c r="N52" s="10" t="inlineStr">
        <is>
          <t>% of prior-yr debt</t>
        </is>
      </c>
    </row>
    <row r="53">
      <c r="A53" s="10" t="inlineStr">
        <is>
          <t>Scenario</t>
        </is>
      </c>
      <c r="B53" s="7" t="inlineStr">
        <is>
          <t>Scenario: Effective income tax rate</t>
        </is>
      </c>
      <c r="D53" s="19">
        <f>D19+D36</f>
        <v/>
      </c>
      <c r="E53" s="19">
        <f>E19+E36</f>
        <v/>
      </c>
      <c r="F53" s="19">
        <f>F19+F36</f>
        <v/>
      </c>
      <c r="G53" s="19">
        <f>G19+G36</f>
        <v/>
      </c>
      <c r="H53" s="19">
        <f>H19+H36</f>
        <v/>
      </c>
      <c r="I53" s="19">
        <f>I19+I36</f>
        <v/>
      </c>
      <c r="J53" s="19">
        <f>J19+J36</f>
        <v/>
      </c>
      <c r="K53" s="19">
        <f>K19+K36</f>
        <v/>
      </c>
      <c r="L53" s="19">
        <f>L19+L36</f>
        <v/>
      </c>
      <c r="M53" s="19">
        <f>M19+M36</f>
        <v/>
      </c>
      <c r="N53" s="10" t="inlineStr">
        <is>
          <t>% of pre-tax</t>
        </is>
      </c>
    </row>
    <row r="54">
      <c r="A54" s="10" t="inlineStr">
        <is>
          <t>Scenario</t>
        </is>
      </c>
      <c r="B54" s="7" t="inlineStr">
        <is>
          <t>Scenario: Discount rate (cost of equity, CAPM) - single rate for the segment</t>
        </is>
      </c>
      <c r="D54" s="19">
        <f>D20+D37</f>
        <v/>
      </c>
      <c r="N54" s="10" t="inlineStr">
        <is>
          <t>% p.a.</t>
        </is>
      </c>
    </row>
    <row r="56">
      <c r="A56" s="12" t="inlineStr">
        <is>
          <t>PROJECTION  ($ millions unless stated; all formulas read the SCENARIO block, never the baseline block directly)</t>
        </is>
      </c>
      <c r="B56" s="13" t="n"/>
      <c r="C56" s="13" t="n"/>
      <c r="D56" s="13" t="n"/>
      <c r="E56" s="13" t="n"/>
      <c r="F56" s="13" t="n"/>
      <c r="G56" s="13" t="n"/>
      <c r="H56" s="13" t="n"/>
      <c r="I56" s="13" t="n"/>
      <c r="J56" s="13" t="n"/>
      <c r="K56" s="13" t="n"/>
      <c r="L56" s="13" t="n"/>
      <c r="M56" s="13" t="n"/>
      <c r="N56" s="13" t="n"/>
      <c r="O56" s="13" t="n"/>
    </row>
    <row r="57">
      <c r="A57" s="22" t="inlineStr">
        <is>
          <t>Drivers</t>
        </is>
      </c>
      <c r="B57" s="23" t="inlineStr">
        <is>
          <t>OPERATING DRIVERS</t>
        </is>
      </c>
      <c r="C57" s="24" t="n"/>
      <c r="D57" s="24" t="n"/>
      <c r="E57" s="24" t="n"/>
      <c r="F57" s="24" t="n"/>
      <c r="G57" s="24" t="n"/>
      <c r="H57" s="24" t="n"/>
      <c r="I57" s="24" t="n"/>
      <c r="J57" s="24" t="n"/>
      <c r="K57" s="24" t="n"/>
      <c r="L57" s="24" t="n"/>
      <c r="M57" s="24" t="n"/>
      <c r="N57" s="24" t="n"/>
      <c r="O57" s="24" t="n"/>
    </row>
    <row r="58">
      <c r="B58" s="7" t="inlineStr">
        <is>
          <t>Stores - beginning of year</t>
        </is>
      </c>
      <c r="C58" s="17" t="n">
        <v>2379</v>
      </c>
      <c r="D58" s="16">
        <f>C61</f>
        <v/>
      </c>
      <c r="E58" s="16">
        <f>D61</f>
        <v/>
      </c>
      <c r="F58" s="16">
        <f>E61</f>
        <v/>
      </c>
      <c r="G58" s="16">
        <f>F61</f>
        <v/>
      </c>
      <c r="H58" s="16">
        <f>G61</f>
        <v/>
      </c>
      <c r="I58" s="16">
        <f>H61</f>
        <v/>
      </c>
      <c r="J58" s="16">
        <f>I61</f>
        <v/>
      </c>
      <c r="K58" s="16">
        <f>J61</f>
        <v/>
      </c>
      <c r="L58" s="16">
        <f>K61</f>
        <v/>
      </c>
      <c r="M58" s="16">
        <f>L61</f>
        <v/>
      </c>
      <c r="N58" s="10" t="inlineStr">
        <is>
          <t># stores</t>
        </is>
      </c>
      <c r="O58" s="10" t="inlineStr">
        <is>
          <t>Last Yr = stores at Feb 1, 2025 (10-K FY2026).</t>
        </is>
      </c>
    </row>
    <row r="59">
      <c r="B59" s="7" t="inlineStr">
        <is>
          <t>Gross store openings</t>
        </is>
      </c>
      <c r="C59" s="17" t="n">
        <v>14</v>
      </c>
      <c r="D59" s="16">
        <f>D40</f>
        <v/>
      </c>
      <c r="E59" s="16">
        <f>E40</f>
        <v/>
      </c>
      <c r="F59" s="16">
        <f>F40</f>
        <v/>
      </c>
      <c r="G59" s="16">
        <f>G40</f>
        <v/>
      </c>
      <c r="H59" s="16">
        <f>H40</f>
        <v/>
      </c>
      <c r="I59" s="16">
        <f>I40</f>
        <v/>
      </c>
      <c r="J59" s="16">
        <f>J40</f>
        <v/>
      </c>
      <c r="K59" s="16">
        <f>K40</f>
        <v/>
      </c>
      <c r="L59" s="16">
        <f>L40</f>
        <v/>
      </c>
      <c r="M59" s="16">
        <f>M40</f>
        <v/>
      </c>
      <c r="N59" s="10" t="inlineStr">
        <is>
          <t># stores</t>
        </is>
      </c>
      <c r="O59" s="10" t="inlineStr"/>
    </row>
    <row r="60">
      <c r="B60" s="7" t="inlineStr">
        <is>
          <t>Store closures</t>
        </is>
      </c>
      <c r="C60" s="17" t="n">
        <v>64</v>
      </c>
      <c r="D60" s="16">
        <f>D41</f>
        <v/>
      </c>
      <c r="E60" s="16">
        <f>E41</f>
        <v/>
      </c>
      <c r="F60" s="16">
        <f>F41</f>
        <v/>
      </c>
      <c r="G60" s="16">
        <f>G41</f>
        <v/>
      </c>
      <c r="H60" s="16">
        <f>H41</f>
        <v/>
      </c>
      <c r="I60" s="16">
        <f>I41</f>
        <v/>
      </c>
      <c r="J60" s="16">
        <f>J41</f>
        <v/>
      </c>
      <c r="K60" s="16">
        <f>K41</f>
        <v/>
      </c>
      <c r="L60" s="16">
        <f>L41</f>
        <v/>
      </c>
      <c r="M60" s="16">
        <f>M41</f>
        <v/>
      </c>
      <c r="N60" s="10" t="inlineStr">
        <is>
          <t># stores</t>
        </is>
      </c>
      <c r="O60" s="10" t="inlineStr"/>
    </row>
    <row r="61">
      <c r="B61" s="7" t="inlineStr">
        <is>
          <t>Stores - end of year</t>
        </is>
      </c>
      <c r="C61" s="16">
        <f>C58+C59-C60</f>
        <v/>
      </c>
      <c r="D61" s="16">
        <f>D58+D59-D60</f>
        <v/>
      </c>
      <c r="E61" s="16">
        <f>E58+E59-E60</f>
        <v/>
      </c>
      <c r="F61" s="16">
        <f>F58+F59-F60</f>
        <v/>
      </c>
      <c r="G61" s="16">
        <f>G58+G59-G60</f>
        <v/>
      </c>
      <c r="H61" s="16">
        <f>H58+H59-H60</f>
        <v/>
      </c>
      <c r="I61" s="16">
        <f>I58+I59-I60</f>
        <v/>
      </c>
      <c r="J61" s="16">
        <f>J58+J59-J60</f>
        <v/>
      </c>
      <c r="K61" s="16">
        <f>K58+K59-K60</f>
        <v/>
      </c>
      <c r="L61" s="16">
        <f>L58+L59-L60</f>
        <v/>
      </c>
      <c r="M61" s="16">
        <f>M58+M59-M60</f>
        <v/>
      </c>
      <c r="N61" s="10" t="inlineStr">
        <is>
          <t># stores</t>
        </is>
      </c>
      <c r="O61" s="10" t="inlineStr"/>
    </row>
    <row r="62">
      <c r="B62" s="7" t="inlineStr">
        <is>
          <t>Average stores in operation</t>
        </is>
      </c>
      <c r="C62" s="21">
        <f>AVERAGE(C58,C61)</f>
        <v/>
      </c>
      <c r="D62" s="21">
        <f>AVERAGE(D58,D61)</f>
        <v/>
      </c>
      <c r="E62" s="21">
        <f>AVERAGE(E58,E61)</f>
        <v/>
      </c>
      <c r="F62" s="21">
        <f>AVERAGE(F58,F61)</f>
        <v/>
      </c>
      <c r="G62" s="21">
        <f>AVERAGE(G58,G61)</f>
        <v/>
      </c>
      <c r="H62" s="21">
        <f>AVERAGE(H58,H61)</f>
        <v/>
      </c>
      <c r="I62" s="21">
        <f>AVERAGE(I58,I61)</f>
        <v/>
      </c>
      <c r="J62" s="21">
        <f>AVERAGE(J58,J61)</f>
        <v/>
      </c>
      <c r="K62" s="21">
        <f>AVERAGE(K58,K61)</f>
        <v/>
      </c>
      <c r="L62" s="21">
        <f>AVERAGE(L58,L61)</f>
        <v/>
      </c>
      <c r="M62" s="21">
        <f>AVERAGE(M58,M61)</f>
        <v/>
      </c>
      <c r="N62" s="10" t="inlineStr">
        <is>
          <t># stores</t>
        </is>
      </c>
      <c r="O62" s="10" t="inlineStr"/>
    </row>
    <row r="63">
      <c r="B63" s="7" t="inlineStr">
        <is>
          <t>Store merchandise sales per average store</t>
        </is>
      </c>
      <c r="C63" s="25">
        <f>IF(C62=0,0,C66/C62)</f>
        <v/>
      </c>
      <c r="D63" s="25">
        <f>C63*(1+D42)</f>
        <v/>
      </c>
      <c r="E63" s="25">
        <f>D63*(1+E42)</f>
        <v/>
      </c>
      <c r="F63" s="25">
        <f>E63*(1+F42)</f>
        <v/>
      </c>
      <c r="G63" s="25">
        <f>F63*(1+G42)</f>
        <v/>
      </c>
      <c r="H63" s="25">
        <f>G63*(1+H42)</f>
        <v/>
      </c>
      <c r="I63" s="25">
        <f>H63*(1+I42)</f>
        <v/>
      </c>
      <c r="J63" s="25">
        <f>I63*(1+J42)</f>
        <v/>
      </c>
      <c r="K63" s="25">
        <f>J63*(1+K42)</f>
        <v/>
      </c>
      <c r="L63" s="25">
        <f>K63*(1+L42)</f>
        <v/>
      </c>
      <c r="M63" s="25">
        <f>L63*(1+M42)</f>
        <v/>
      </c>
      <c r="N63" s="10" t="inlineStr">
        <is>
          <t>$M / store</t>
        </is>
      </c>
      <c r="O63" s="10" t="inlineStr">
        <is>
          <t>Last Yr calibrated = store merchandise sales / average stores; grows at same-store-sales assumption.</t>
        </is>
      </c>
    </row>
    <row r="64"/>
    <row r="65">
      <c r="A65" s="22" t="inlineStr">
        <is>
          <t>Income stmt</t>
        </is>
      </c>
      <c r="B65" s="23" t="inlineStr">
        <is>
          <t>INCOME STATEMENT</t>
        </is>
      </c>
      <c r="C65" s="24" t="n"/>
      <c r="D65" s="24" t="n"/>
      <c r="E65" s="24" t="n"/>
      <c r="F65" s="24" t="n"/>
      <c r="G65" s="24" t="n"/>
      <c r="H65" s="24" t="n"/>
      <c r="I65" s="24" t="n"/>
      <c r="J65" s="24" t="n"/>
      <c r="K65" s="24" t="n"/>
      <c r="L65" s="24" t="n"/>
      <c r="M65" s="24" t="n"/>
      <c r="N65" s="24" t="n"/>
      <c r="O65" s="24" t="n"/>
    </row>
    <row r="66">
      <c r="B66" s="7" t="inlineStr">
        <is>
          <t>Store merchandise sales (average stores x sales per store)</t>
        </is>
      </c>
      <c r="C66" s="20" t="n">
        <v>4179.8</v>
      </c>
      <c r="D66" s="21">
        <f>D62*D63</f>
        <v/>
      </c>
      <c r="E66" s="21">
        <f>E62*E63</f>
        <v/>
      </c>
      <c r="F66" s="21">
        <f>F62*F63</f>
        <v/>
      </c>
      <c r="G66" s="21">
        <f>G62*G63</f>
        <v/>
      </c>
      <c r="H66" s="21">
        <f>H62*H63</f>
        <v/>
      </c>
      <c r="I66" s="21">
        <f>I62*I63</f>
        <v/>
      </c>
      <c r="J66" s="21">
        <f>J62*J63</f>
        <v/>
      </c>
      <c r="K66" s="21">
        <f>K62*K63</f>
        <v/>
      </c>
      <c r="L66" s="21">
        <f>L62*L63</f>
        <v/>
      </c>
      <c r="M66" s="21">
        <f>M62*M63</f>
        <v/>
      </c>
      <c r="N66" s="10" t="inlineStr">
        <is>
          <t>$M</t>
        </is>
      </c>
      <c r="O66" s="10" t="inlineStr"/>
    </row>
    <row r="67">
      <c r="B67" s="7" t="inlineStr">
        <is>
          <t>E-commerce merchandise sales</t>
        </is>
      </c>
      <c r="C67" s="20" t="n">
        <v>1423.8</v>
      </c>
      <c r="D67" s="21">
        <f>C67*(1+D43)</f>
        <v/>
      </c>
      <c r="E67" s="21">
        <f>D67*(1+E43)</f>
        <v/>
      </c>
      <c r="F67" s="21">
        <f>E67*(1+F43)</f>
        <v/>
      </c>
      <c r="G67" s="21">
        <f>F67*(1+G43)</f>
        <v/>
      </c>
      <c r="H67" s="21">
        <f>G67*(1+H43)</f>
        <v/>
      </c>
      <c r="I67" s="21">
        <f>H67*(1+I43)</f>
        <v/>
      </c>
      <c r="J67" s="21">
        <f>I67*(1+J43)</f>
        <v/>
      </c>
      <c r="K67" s="21">
        <f>J67*(1+K43)</f>
        <v/>
      </c>
      <c r="L67" s="21">
        <f>K67*(1+L43)</f>
        <v/>
      </c>
      <c r="M67" s="21">
        <f>L67*(1+M43)</f>
        <v/>
      </c>
      <c r="N67" s="10" t="inlineStr">
        <is>
          <t>$M</t>
        </is>
      </c>
      <c r="O67" s="10" t="inlineStr">
        <is>
          <t>Last Yr: NA 1,423.8 incl. James Allen + Blue Nile 481.5; company e-commerce 21.8% of sales.</t>
        </is>
      </c>
    </row>
    <row r="68">
      <c r="B68" s="7" t="inlineStr">
        <is>
          <t>Services revenue (extended service plans, repairs, custom design)</t>
        </is>
      </c>
      <c r="C68" s="20" t="n">
        <v>760</v>
      </c>
      <c r="D68" s="21">
        <f>(D66+D67)*D44</f>
        <v/>
      </c>
      <c r="E68" s="21">
        <f>(E66+E67)*E44</f>
        <v/>
      </c>
      <c r="F68" s="21">
        <f>(F66+F67)*F44</f>
        <v/>
      </c>
      <c r="G68" s="21">
        <f>(G66+G67)*G44</f>
        <v/>
      </c>
      <c r="H68" s="21">
        <f>(H66+H67)*H44</f>
        <v/>
      </c>
      <c r="I68" s="21">
        <f>(I66+I67)*I44</f>
        <v/>
      </c>
      <c r="J68" s="21">
        <f>(J66+J67)*J44</f>
        <v/>
      </c>
      <c r="K68" s="21">
        <f>(K66+K67)*K44</f>
        <v/>
      </c>
      <c r="L68" s="21">
        <f>(L66+L67)*L44</f>
        <v/>
      </c>
      <c r="M68" s="21">
        <f>(M66+M67)*M44</f>
        <v/>
      </c>
      <c r="N68" s="10" t="inlineStr">
        <is>
          <t>$M</t>
        </is>
      </c>
      <c r="O68" s="10" t="inlineStr">
        <is>
          <t>FY2026 services 803.5 consolidated (10-K); attach rate assumption x merchandise sales.</t>
        </is>
      </c>
    </row>
    <row r="69">
      <c r="B69" s="7" t="inlineStr">
        <is>
          <t>Other revenue (diamond sourcing / non-retail)</t>
        </is>
      </c>
      <c r="C69" s="20" t="n">
        <v>0</v>
      </c>
      <c r="D69" s="21">
        <f>C69*(1+D45)</f>
        <v/>
      </c>
      <c r="E69" s="21">
        <f>D69*(1+E45)</f>
        <v/>
      </c>
      <c r="F69" s="21">
        <f>E69*(1+F45)</f>
        <v/>
      </c>
      <c r="G69" s="21">
        <f>F69*(1+G45)</f>
        <v/>
      </c>
      <c r="H69" s="21">
        <f>G69*(1+H45)</f>
        <v/>
      </c>
      <c r="I69" s="21">
        <f>H69*(1+I45)</f>
        <v/>
      </c>
      <c r="J69" s="21">
        <f>I69*(1+J45)</f>
        <v/>
      </c>
      <c r="K69" s="21">
        <f>J69*(1+K45)</f>
        <v/>
      </c>
      <c r="L69" s="21">
        <f>K69*(1+L45)</f>
        <v/>
      </c>
      <c r="M69" s="21">
        <f>L69*(1+M45)</f>
        <v/>
      </c>
      <c r="N69" s="10" t="inlineStr">
        <is>
          <t>$M</t>
        </is>
      </c>
      <c r="O69" s="10" t="inlineStr">
        <is>
          <t>Diamond-sourcing sales to third parties (Other segment).</t>
        </is>
      </c>
    </row>
    <row r="70">
      <c r="B70" s="3" t="inlineStr">
        <is>
          <t>TOTAL SALES</t>
        </is>
      </c>
      <c r="C70" s="26">
        <f>SUM(C66:C69)</f>
        <v/>
      </c>
      <c r="D70" s="26">
        <f>SUM(D66:D69)</f>
        <v/>
      </c>
      <c r="E70" s="26">
        <f>SUM(E66:E69)</f>
        <v/>
      </c>
      <c r="F70" s="26">
        <f>SUM(F66:F69)</f>
        <v/>
      </c>
      <c r="G70" s="26">
        <f>SUM(G66:G69)</f>
        <v/>
      </c>
      <c r="H70" s="26">
        <f>SUM(H66:H69)</f>
        <v/>
      </c>
      <c r="I70" s="26">
        <f>SUM(I66:I69)</f>
        <v/>
      </c>
      <c r="J70" s="26">
        <f>SUM(J66:J69)</f>
        <v/>
      </c>
      <c r="K70" s="26">
        <f>SUM(K66:K69)</f>
        <v/>
      </c>
      <c r="L70" s="26">
        <f>SUM(L66:L69)</f>
        <v/>
      </c>
      <c r="M70" s="26">
        <f>SUM(M66:M69)</f>
        <v/>
      </c>
      <c r="N70" s="10" t="inlineStr">
        <is>
          <t>$M</t>
        </is>
      </c>
      <c r="O70" s="10" t="inlineStr">
        <is>
          <t>FY2026A ties to reported segment sales.</t>
        </is>
      </c>
    </row>
    <row r="71">
      <c r="B71" s="7" t="inlineStr">
        <is>
          <t>Revenue growth (calculated check row)</t>
        </is>
      </c>
      <c r="D71" s="19">
        <f>IF(C70=0,0,D70/C70-1)</f>
        <v/>
      </c>
      <c r="E71" s="19">
        <f>IF(D70=0,0,E70/D70-1)</f>
        <v/>
      </c>
      <c r="F71" s="19">
        <f>IF(E70=0,0,F70/E70-1)</f>
        <v/>
      </c>
      <c r="G71" s="19">
        <f>IF(F70=0,0,G70/F70-1)</f>
        <v/>
      </c>
      <c r="H71" s="19">
        <f>IF(G70=0,0,H70/G70-1)</f>
        <v/>
      </c>
      <c r="I71" s="19">
        <f>IF(H70=0,0,I70/H70-1)</f>
        <v/>
      </c>
      <c r="J71" s="19">
        <f>IF(I70=0,0,J70/I70-1)</f>
        <v/>
      </c>
      <c r="K71" s="19">
        <f>IF(J70=0,0,K70/J70-1)</f>
        <v/>
      </c>
      <c r="L71" s="19">
        <f>IF(K70=0,0,L70/K70-1)</f>
        <v/>
      </c>
      <c r="M71" s="19">
        <f>IF(L70=0,0,M70/L70-1)</f>
        <v/>
      </c>
      <c r="N71" s="10" t="inlineStr">
        <is>
          <t>%</t>
        </is>
      </c>
      <c r="O71" s="10" t="inlineStr"/>
    </row>
    <row r="72">
      <c r="B72" s="7" t="inlineStr">
        <is>
          <t>Cost of sales (merchandise, services and store occupancy)</t>
        </is>
      </c>
      <c r="C72" s="20" t="n">
        <v>3803.5</v>
      </c>
      <c r="D72" s="21">
        <f>D70*D46</f>
        <v/>
      </c>
      <c r="E72" s="21">
        <f>E70*E46</f>
        <v/>
      </c>
      <c r="F72" s="21">
        <f>F70*F46</f>
        <v/>
      </c>
      <c r="G72" s="21">
        <f>G70*G46</f>
        <v/>
      </c>
      <c r="H72" s="21">
        <f>H70*H46</f>
        <v/>
      </c>
      <c r="I72" s="21">
        <f>I70*I46</f>
        <v/>
      </c>
      <c r="J72" s="21">
        <f>J70*J46</f>
        <v/>
      </c>
      <c r="K72" s="21">
        <f>K70*K46</f>
        <v/>
      </c>
      <c r="L72" s="21">
        <f>L70*L46</f>
        <v/>
      </c>
      <c r="M72" s="21">
        <f>M70*M46</f>
        <v/>
      </c>
      <c r="N72" s="10" t="inlineStr">
        <is>
          <t>$M</t>
        </is>
      </c>
      <c r="O72" s="10" t="inlineStr">
        <is>
          <t>Segment split of consolidated 4,119.0 is a team allocation (see Assumptions &amp; Sources).</t>
        </is>
      </c>
    </row>
    <row r="73">
      <c r="B73" s="3" t="inlineStr">
        <is>
          <t>Gross profit</t>
        </is>
      </c>
      <c r="C73" s="26">
        <f>C70-C72</f>
        <v/>
      </c>
      <c r="D73" s="26">
        <f>D70-D72</f>
        <v/>
      </c>
      <c r="E73" s="26">
        <f>E70-E72</f>
        <v/>
      </c>
      <c r="F73" s="26">
        <f>F70-F72</f>
        <v/>
      </c>
      <c r="G73" s="26">
        <f>G70-G72</f>
        <v/>
      </c>
      <c r="H73" s="26">
        <f>H70-H72</f>
        <v/>
      </c>
      <c r="I73" s="26">
        <f>I70-I72</f>
        <v/>
      </c>
      <c r="J73" s="26">
        <f>J70-J72</f>
        <v/>
      </c>
      <c r="K73" s="26">
        <f>K70-K72</f>
        <v/>
      </c>
      <c r="L73" s="26">
        <f>L70-L72</f>
        <v/>
      </c>
      <c r="M73" s="26">
        <f>M70-M72</f>
        <v/>
      </c>
      <c r="N73" s="10" t="inlineStr">
        <is>
          <t>$M</t>
        </is>
      </c>
      <c r="O73" s="10" t="inlineStr"/>
    </row>
    <row r="74">
      <c r="B74" s="7" t="inlineStr">
        <is>
          <t>Gross margin %</t>
        </is>
      </c>
      <c r="C74" s="19">
        <f>IF(C70=0,0,C73/C70)</f>
        <v/>
      </c>
      <c r="D74" s="19">
        <f>IF(D70=0,0,D73/D70)</f>
        <v/>
      </c>
      <c r="E74" s="19">
        <f>IF(E70=0,0,E73/E70)</f>
        <v/>
      </c>
      <c r="F74" s="19">
        <f>IF(F70=0,0,F73/F70)</f>
        <v/>
      </c>
      <c r="G74" s="19">
        <f>IF(G70=0,0,G73/G70)</f>
        <v/>
      </c>
      <c r="H74" s="19">
        <f>IF(H70=0,0,H73/H70)</f>
        <v/>
      </c>
      <c r="I74" s="19">
        <f>IF(I70=0,0,I73/I70)</f>
        <v/>
      </c>
      <c r="J74" s="19">
        <f>IF(J70=0,0,J73/J70)</f>
        <v/>
      </c>
      <c r="K74" s="19">
        <f>IF(K70=0,0,K73/K70)</f>
        <v/>
      </c>
      <c r="L74" s="19">
        <f>IF(L70=0,0,L73/L70)</f>
        <v/>
      </c>
      <c r="M74" s="19">
        <f>IF(M70=0,0,M73/M70)</f>
        <v/>
      </c>
      <c r="N74" s="10" t="inlineStr">
        <is>
          <t>%</t>
        </is>
      </c>
      <c r="O74" s="10" t="inlineStr"/>
    </row>
    <row r="75">
      <c r="B75" s="7" t="inlineStr">
        <is>
          <t>Variable SG&amp;A</t>
        </is>
      </c>
      <c r="C75" s="20" t="n">
        <v>1272.7</v>
      </c>
      <c r="D75" s="21">
        <f>D70*D47</f>
        <v/>
      </c>
      <c r="E75" s="21">
        <f>E70*E47</f>
        <v/>
      </c>
      <c r="F75" s="21">
        <f>F70*F47</f>
        <v/>
      </c>
      <c r="G75" s="21">
        <f>G70*G47</f>
        <v/>
      </c>
      <c r="H75" s="21">
        <f>H70*H47</f>
        <v/>
      </c>
      <c r="I75" s="21">
        <f>I70*I47</f>
        <v/>
      </c>
      <c r="J75" s="21">
        <f>J70*J47</f>
        <v/>
      </c>
      <c r="K75" s="21">
        <f>K70*K47</f>
        <v/>
      </c>
      <c r="L75" s="21">
        <f>L70*L47</f>
        <v/>
      </c>
      <c r="M75" s="21">
        <f>M70*M47</f>
        <v/>
      </c>
      <c r="N75" s="10" t="inlineStr">
        <is>
          <t>$M</t>
        </is>
      </c>
      <c r="O75" s="10" t="inlineStr"/>
    </row>
    <row r="76">
      <c r="B76" s="7" t="inlineStr">
        <is>
          <t>Fixed SG&amp;A (net of cost savings)</t>
        </is>
      </c>
      <c r="C76" s="20" t="n">
        <v>731.5</v>
      </c>
      <c r="D76" s="21">
        <f>C76*(1+D48)-D49</f>
        <v/>
      </c>
      <c r="E76" s="21">
        <f>D76*(1+E48)-E49</f>
        <v/>
      </c>
      <c r="F76" s="21">
        <f>E76*(1+F48)-F49</f>
        <v/>
      </c>
      <c r="G76" s="21">
        <f>F76*(1+G48)-G49</f>
        <v/>
      </c>
      <c r="H76" s="21">
        <f>G76*(1+H48)-H49</f>
        <v/>
      </c>
      <c r="I76" s="21">
        <f>H76*(1+I48)-I49</f>
        <v/>
      </c>
      <c r="J76" s="21">
        <f>I76*(1+J48)-J49</f>
        <v/>
      </c>
      <c r="K76" s="21">
        <f>J76*(1+K48)-K49</f>
        <v/>
      </c>
      <c r="L76" s="21">
        <f>K76*(1+L48)-L49</f>
        <v/>
      </c>
      <c r="M76" s="21">
        <f>L76*(1+M48)-M49</f>
        <v/>
      </c>
      <c r="N76" s="10" t="inlineStr">
        <is>
          <t>$M</t>
        </is>
      </c>
      <c r="O76" s="10" t="inlineStr">
        <is>
          <t>Last Yr fixed SG&amp;A = segment SG&amp;A less variable component.</t>
        </is>
      </c>
    </row>
    <row r="77">
      <c r="B77" s="7" t="inlineStr">
        <is>
          <t>Total SG&amp;A</t>
        </is>
      </c>
      <c r="C77" s="21">
        <f>C75+C76</f>
        <v/>
      </c>
      <c r="D77" s="21">
        <f>D75+D76</f>
        <v/>
      </c>
      <c r="E77" s="21">
        <f>E75+E76</f>
        <v/>
      </c>
      <c r="F77" s="21">
        <f>F75+F76</f>
        <v/>
      </c>
      <c r="G77" s="21">
        <f>G75+G76</f>
        <v/>
      </c>
      <c r="H77" s="21">
        <f>H75+H76</f>
        <v/>
      </c>
      <c r="I77" s="21">
        <f>I75+I76</f>
        <v/>
      </c>
      <c r="J77" s="21">
        <f>J75+J76</f>
        <v/>
      </c>
      <c r="K77" s="21">
        <f>K75+K76</f>
        <v/>
      </c>
      <c r="L77" s="21">
        <f>L75+L76</f>
        <v/>
      </c>
      <c r="M77" s="21">
        <f>M75+M76</f>
        <v/>
      </c>
      <c r="N77" s="10" t="inlineStr">
        <is>
          <t>$M</t>
        </is>
      </c>
      <c r="O77" s="10" t="inlineStr"/>
    </row>
    <row r="78">
      <c r="B78" s="7" t="inlineStr">
        <is>
          <t>SG&amp;A % of sales</t>
        </is>
      </c>
      <c r="C78" s="19">
        <f>IF(C70=0,0,C77/C70)</f>
        <v/>
      </c>
      <c r="D78" s="19">
        <f>IF(D70=0,0,D77/D70)</f>
        <v/>
      </c>
      <c r="E78" s="19">
        <f>IF(E70=0,0,E77/E70)</f>
        <v/>
      </c>
      <c r="F78" s="19">
        <f>IF(F70=0,0,F77/F70)</f>
        <v/>
      </c>
      <c r="G78" s="19">
        <f>IF(G70=0,0,G77/G70)</f>
        <v/>
      </c>
      <c r="H78" s="19">
        <f>IF(H70=0,0,H77/H70)</f>
        <v/>
      </c>
      <c r="I78" s="19">
        <f>IF(I70=0,0,I77/I70)</f>
        <v/>
      </c>
      <c r="J78" s="19">
        <f>IF(J70=0,0,J77/J70)</f>
        <v/>
      </c>
      <c r="K78" s="19">
        <f>IF(K70=0,0,K77/K70)</f>
        <v/>
      </c>
      <c r="L78" s="19">
        <f>IF(L70=0,0,L77/L70)</f>
        <v/>
      </c>
      <c r="M78" s="19">
        <f>IF(M70=0,0,M77/M70)</f>
        <v/>
      </c>
      <c r="N78" s="10" t="inlineStr">
        <is>
          <t>%</t>
        </is>
      </c>
      <c r="O78" s="10" t="inlineStr"/>
    </row>
    <row r="79">
      <c r="B79" s="7" t="inlineStr">
        <is>
          <t>Other operating income / (expense)</t>
        </is>
      </c>
      <c r="C79" s="20" t="n">
        <v>-103.3</v>
      </c>
      <c r="D79" s="21">
        <f>D50</f>
        <v/>
      </c>
      <c r="E79" s="21">
        <f>E50</f>
        <v/>
      </c>
      <c r="F79" s="21">
        <f>F50</f>
        <v/>
      </c>
      <c r="G79" s="21">
        <f>G50</f>
        <v/>
      </c>
      <c r="H79" s="21">
        <f>H50</f>
        <v/>
      </c>
      <c r="I79" s="21">
        <f>I50</f>
        <v/>
      </c>
      <c r="J79" s="21">
        <f>J50</f>
        <v/>
      </c>
      <c r="K79" s="21">
        <f>K50</f>
        <v/>
      </c>
      <c r="L79" s="21">
        <f>L50</f>
        <v/>
      </c>
      <c r="M79" s="21">
        <f>M50</f>
        <v/>
      </c>
      <c r="N79" s="10" t="inlineStr">
        <is>
          <t>$M</t>
        </is>
      </c>
      <c r="O79" s="10" t="inlineStr">
        <is>
          <t>Last Yr: impairments &amp; restructuring (consolidated -128.3); projection = one-time assumption row.</t>
        </is>
      </c>
    </row>
    <row r="80">
      <c r="B80" s="3" t="inlineStr">
        <is>
          <t>OPERATING INCOME</t>
        </is>
      </c>
      <c r="C80" s="26">
        <f>C73-C77+C79</f>
        <v/>
      </c>
      <c r="D80" s="26">
        <f>D73-D77+D79</f>
        <v/>
      </c>
      <c r="E80" s="26">
        <f>E73-E77+E79</f>
        <v/>
      </c>
      <c r="F80" s="26">
        <f>F73-F77+F79</f>
        <v/>
      </c>
      <c r="G80" s="26">
        <f>G73-G77+G79</f>
        <v/>
      </c>
      <c r="H80" s="26">
        <f>H73-H77+H79</f>
        <v/>
      </c>
      <c r="I80" s="26">
        <f>I73-I77+I79</f>
        <v/>
      </c>
      <c r="J80" s="26">
        <f>J73-J77+J79</f>
        <v/>
      </c>
      <c r="K80" s="26">
        <f>K73-K77+K79</f>
        <v/>
      </c>
      <c r="L80" s="26">
        <f>L73-L77+L79</f>
        <v/>
      </c>
      <c r="M80" s="26">
        <f>M73-M77+M79</f>
        <v/>
      </c>
      <c r="N80" s="10" t="inlineStr">
        <is>
          <t>$M</t>
        </is>
      </c>
      <c r="O80" s="10" t="inlineStr">
        <is>
          <t>FY2026A ties to reported segment operating income.</t>
        </is>
      </c>
    </row>
    <row r="81">
      <c r="B81" s="7" t="inlineStr">
        <is>
          <t>Operating margin %</t>
        </is>
      </c>
      <c r="C81" s="19">
        <f>IF(C70=0,0,C80/C70)</f>
        <v/>
      </c>
      <c r="D81" s="19">
        <f>IF(D70=0,0,D80/D70)</f>
        <v/>
      </c>
      <c r="E81" s="19">
        <f>IF(E70=0,0,E80/E70)</f>
        <v/>
      </c>
      <c r="F81" s="19">
        <f>IF(F70=0,0,F80/F70)</f>
        <v/>
      </c>
      <c r="G81" s="19">
        <f>IF(G70=0,0,G80/G70)</f>
        <v/>
      </c>
      <c r="H81" s="19">
        <f>IF(H70=0,0,H80/H70)</f>
        <v/>
      </c>
      <c r="I81" s="19">
        <f>IF(I70=0,0,I80/I70)</f>
        <v/>
      </c>
      <c r="J81" s="19">
        <f>IF(J70=0,0,J80/J70)</f>
        <v/>
      </c>
      <c r="K81" s="19">
        <f>IF(K70=0,0,K80/K70)</f>
        <v/>
      </c>
      <c r="L81" s="19">
        <f>IF(L70=0,0,L80/L70)</f>
        <v/>
      </c>
      <c r="M81" s="19">
        <f>IF(M70=0,0,M80/M70)</f>
        <v/>
      </c>
      <c r="N81" s="10" t="inlineStr">
        <is>
          <t>%</t>
        </is>
      </c>
      <c r="O81" s="10" t="inlineStr"/>
    </row>
    <row r="82">
      <c r="B82" s="7" t="inlineStr">
        <is>
          <t>Interest income on invested assets (yield x prior-year cash)</t>
        </is>
      </c>
      <c r="C82" s="20" t="n">
        <v>4.7</v>
      </c>
      <c r="D82" s="21">
        <f>C104*D51</f>
        <v/>
      </c>
      <c r="E82" s="21">
        <f>D104*E51</f>
        <v/>
      </c>
      <c r="F82" s="21">
        <f>E104*F51</f>
        <v/>
      </c>
      <c r="G82" s="21">
        <f>F104*G51</f>
        <v/>
      </c>
      <c r="H82" s="21">
        <f>G104*H51</f>
        <v/>
      </c>
      <c r="I82" s="21">
        <f>H104*I51</f>
        <v/>
      </c>
      <c r="J82" s="21">
        <f>I104*J51</f>
        <v/>
      </c>
      <c r="K82" s="21">
        <f>J104*K51</f>
        <v/>
      </c>
      <c r="L82" s="21">
        <f>K104*L51</f>
        <v/>
      </c>
      <c r="M82" s="21">
        <f>L104*M51</f>
        <v/>
      </c>
      <c r="N82" s="10" t="inlineStr">
        <is>
          <t>$M</t>
        </is>
      </c>
      <c r="O82" s="10" t="inlineStr">
        <is>
          <t>Last Yr = allocated share of 4.0 net interest + 1.0 other non-operating income.</t>
        </is>
      </c>
    </row>
    <row r="83">
      <c r="B83" s="7" t="inlineStr">
        <is>
          <t>Interest expense on debt (rate x prior-year debt)</t>
        </is>
      </c>
      <c r="C83" s="20" t="n">
        <v>0</v>
      </c>
      <c r="D83" s="21">
        <f>C107*D52</f>
        <v/>
      </c>
      <c r="E83" s="21">
        <f>D107*E52</f>
        <v/>
      </c>
      <c r="F83" s="21">
        <f>E107*F52</f>
        <v/>
      </c>
      <c r="G83" s="21">
        <f>F107*G52</f>
        <v/>
      </c>
      <c r="H83" s="21">
        <f>G107*H52</f>
        <v/>
      </c>
      <c r="I83" s="21">
        <f>H107*I52</f>
        <v/>
      </c>
      <c r="J83" s="21">
        <f>I107*J52</f>
        <v/>
      </c>
      <c r="K83" s="21">
        <f>J107*K52</f>
        <v/>
      </c>
      <c r="L83" s="21">
        <f>K107*L52</f>
        <v/>
      </c>
      <c r="M83" s="21">
        <f>L107*M52</f>
        <v/>
      </c>
      <c r="N83" s="10" t="inlineStr">
        <is>
          <t>$M</t>
        </is>
      </c>
      <c r="O83" s="10" t="inlineStr"/>
    </row>
    <row r="84">
      <c r="B84" s="3" t="inlineStr">
        <is>
          <t>Income before income taxes</t>
        </is>
      </c>
      <c r="C84" s="26">
        <f>C80+C82-C83</f>
        <v/>
      </c>
      <c r="D84" s="26">
        <f>D80+D82-D83</f>
        <v/>
      </c>
      <c r="E84" s="26">
        <f>E80+E82-E83</f>
        <v/>
      </c>
      <c r="F84" s="26">
        <f>F80+F82-F83</f>
        <v/>
      </c>
      <c r="G84" s="26">
        <f>G80+G82-G83</f>
        <v/>
      </c>
      <c r="H84" s="26">
        <f>H80+H82-H83</f>
        <v/>
      </c>
      <c r="I84" s="26">
        <f>I80+I82-I83</f>
        <v/>
      </c>
      <c r="J84" s="26">
        <f>J80+J82-J83</f>
        <v/>
      </c>
      <c r="K84" s="26">
        <f>K80+K82-K83</f>
        <v/>
      </c>
      <c r="L84" s="26">
        <f>L80+L82-L83</f>
        <v/>
      </c>
      <c r="M84" s="26">
        <f>M80+M82-M83</f>
        <v/>
      </c>
      <c r="N84" s="10" t="inlineStr">
        <is>
          <t>$M</t>
        </is>
      </c>
      <c r="O84" s="10" t="inlineStr"/>
    </row>
    <row r="85">
      <c r="B85" s="7" t="inlineStr">
        <is>
          <t>Pre-tax margin %</t>
        </is>
      </c>
      <c r="C85" s="19">
        <f>IF(C70=0,0,C84/C70)</f>
        <v/>
      </c>
      <c r="D85" s="19">
        <f>IF(D70=0,0,D84/D70)</f>
        <v/>
      </c>
      <c r="E85" s="19">
        <f>IF(E70=0,0,E84/E70)</f>
        <v/>
      </c>
      <c r="F85" s="19">
        <f>IF(F70=0,0,F84/F70)</f>
        <v/>
      </c>
      <c r="G85" s="19">
        <f>IF(G70=0,0,G84/G70)</f>
        <v/>
      </c>
      <c r="H85" s="19">
        <f>IF(H70=0,0,H84/H70)</f>
        <v/>
      </c>
      <c r="I85" s="19">
        <f>IF(I70=0,0,I84/I70)</f>
        <v/>
      </c>
      <c r="J85" s="19">
        <f>IF(J70=0,0,J84/J70)</f>
        <v/>
      </c>
      <c r="K85" s="19">
        <f>IF(K70=0,0,K84/K70)</f>
        <v/>
      </c>
      <c r="L85" s="19">
        <f>IF(L70=0,0,L84/L70)</f>
        <v/>
      </c>
      <c r="M85" s="19">
        <f>IF(M70=0,0,M84/M70)</f>
        <v/>
      </c>
      <c r="N85" s="10" t="inlineStr">
        <is>
          <t>%</t>
        </is>
      </c>
      <c r="O85" s="10" t="inlineStr"/>
    </row>
    <row r="86">
      <c r="B86" s="7" t="inlineStr">
        <is>
          <t>Income taxes</t>
        </is>
      </c>
      <c r="C86" s="20" t="n">
        <v>119.1</v>
      </c>
      <c r="D86" s="21">
        <f>D84*D53</f>
        <v/>
      </c>
      <c r="E86" s="21">
        <f>E84*E53</f>
        <v/>
      </c>
      <c r="F86" s="21">
        <f>F84*F53</f>
        <v/>
      </c>
      <c r="G86" s="21">
        <f>G84*G53</f>
        <v/>
      </c>
      <c r="H86" s="21">
        <f>H84*H53</f>
        <v/>
      </c>
      <c r="I86" s="21">
        <f>I84*I53</f>
        <v/>
      </c>
      <c r="J86" s="21">
        <f>J84*J53</f>
        <v/>
      </c>
      <c r="K86" s="21">
        <f>K84*K53</f>
        <v/>
      </c>
      <c r="L86" s="21">
        <f>L84*L53</f>
        <v/>
      </c>
      <c r="M86" s="21">
        <f>M84*M53</f>
        <v/>
      </c>
      <c r="N86" s="10" t="inlineStr">
        <is>
          <t>$M</t>
        </is>
      </c>
      <c r="O86" s="10" t="inlineStr">
        <is>
          <t>Last Yr = allocated share of 103.7 (26.0% effective rate).</t>
        </is>
      </c>
    </row>
    <row r="87">
      <c r="B87" s="3" t="inlineStr">
        <is>
          <t>NET INCOME</t>
        </is>
      </c>
      <c r="C87" s="26">
        <f>C84-C86</f>
        <v/>
      </c>
      <c r="D87" s="26">
        <f>D84-D86</f>
        <v/>
      </c>
      <c r="E87" s="26">
        <f>E84-E86</f>
        <v/>
      </c>
      <c r="F87" s="26">
        <f>F84-F86</f>
        <v/>
      </c>
      <c r="G87" s="26">
        <f>G84-G86</f>
        <v/>
      </c>
      <c r="H87" s="26">
        <f>H84-H86</f>
        <v/>
      </c>
      <c r="I87" s="26">
        <f>I84-I86</f>
        <v/>
      </c>
      <c r="J87" s="26">
        <f>J84-J86</f>
        <v/>
      </c>
      <c r="K87" s="26">
        <f>K84-K86</f>
        <v/>
      </c>
      <c r="L87" s="26">
        <f>L84-L86</f>
        <v/>
      </c>
      <c r="M87" s="26">
        <f>M84-M86</f>
        <v/>
      </c>
      <c r="N87" s="10" t="inlineStr">
        <is>
          <t>$M</t>
        </is>
      </c>
      <c r="O87" s="10" t="inlineStr"/>
    </row>
    <row r="88">
      <c r="B88" s="7" t="inlineStr">
        <is>
          <t>Net margin %</t>
        </is>
      </c>
      <c r="C88" s="19">
        <f>IF(C70=0,0,C87/C70)</f>
        <v/>
      </c>
      <c r="D88" s="19">
        <f>IF(D70=0,0,D87/D70)</f>
        <v/>
      </c>
      <c r="E88" s="19">
        <f>IF(E70=0,0,E87/E70)</f>
        <v/>
      </c>
      <c r="F88" s="19">
        <f>IF(F70=0,0,F87/F70)</f>
        <v/>
      </c>
      <c r="G88" s="19">
        <f>IF(G70=0,0,G87/G70)</f>
        <v/>
      </c>
      <c r="H88" s="19">
        <f>IF(H70=0,0,H87/H70)</f>
        <v/>
      </c>
      <c r="I88" s="19">
        <f>IF(I70=0,0,I87/I70)</f>
        <v/>
      </c>
      <c r="J88" s="19">
        <f>IF(J70=0,0,J87/J70)</f>
        <v/>
      </c>
      <c r="K88" s="19">
        <f>IF(K70=0,0,K87/K70)</f>
        <v/>
      </c>
      <c r="L88" s="19">
        <f>IF(L70=0,0,L87/L70)</f>
        <v/>
      </c>
      <c r="M88" s="19">
        <f>IF(M70=0,0,M87/M70)</f>
        <v/>
      </c>
      <c r="N88" s="10" t="inlineStr">
        <is>
          <t>%</t>
        </is>
      </c>
      <c r="O88" s="10" t="inlineStr"/>
    </row>
    <row r="89"/>
    <row r="90">
      <c r="A90" s="22" t="inlineStr">
        <is>
          <t>Valuation</t>
        </is>
      </c>
      <c r="B90" s="23" t="inlineStr">
        <is>
          <t>DISTRIBUTIONS &amp; VALUATION (profits-released approach)</t>
        </is>
      </c>
      <c r="C90" s="24" t="n"/>
      <c r="D90" s="24" t="n"/>
      <c r="E90" s="24" t="n"/>
      <c r="F90" s="24" t="n"/>
      <c r="G90" s="24" t="n"/>
      <c r="H90" s="24" t="n"/>
      <c r="I90" s="24" t="n"/>
      <c r="J90" s="24" t="n"/>
      <c r="K90" s="24" t="n"/>
      <c r="L90" s="24" t="n"/>
      <c r="M90" s="24" t="n"/>
      <c r="N90" s="24" t="n"/>
      <c r="O90" s="24" t="n"/>
    </row>
    <row r="91">
      <c r="B91" s="7" t="inlineStr">
        <is>
          <t>Distributions to shareholders (dividends + buybacks = net income)</t>
        </is>
      </c>
      <c r="C91" s="21">
        <f>C87</f>
        <v/>
      </c>
      <c r="D91" s="21">
        <f>D87</f>
        <v/>
      </c>
      <c r="E91" s="21">
        <f>E87</f>
        <v/>
      </c>
      <c r="F91" s="21">
        <f>F87</f>
        <v/>
      </c>
      <c r="G91" s="21">
        <f>G87</f>
        <v/>
      </c>
      <c r="H91" s="21">
        <f>H87</f>
        <v/>
      </c>
      <c r="I91" s="21">
        <f>I87</f>
        <v/>
      </c>
      <c r="J91" s="21">
        <f>J87</f>
        <v/>
      </c>
      <c r="K91" s="21">
        <f>K87</f>
        <v/>
      </c>
      <c r="L91" s="21">
        <f>L87</f>
        <v/>
      </c>
      <c r="M91" s="21">
        <f>M87</f>
        <v/>
      </c>
      <c r="N91" s="10" t="inlineStr">
        <is>
          <t>$M</t>
        </is>
      </c>
      <c r="O91" s="10" t="inlineStr">
        <is>
          <t>Profits released: 100% of net income distributed (dividends + buybacks).</t>
        </is>
      </c>
    </row>
    <row r="92">
      <c r="B92" s="7" t="inlineStr">
        <is>
          <t>Earnings retained in equity</t>
        </is>
      </c>
      <c r="C92" s="21">
        <f>C87-C91</f>
        <v/>
      </c>
      <c r="D92" s="21">
        <f>D87-D91</f>
        <v/>
      </c>
      <c r="E92" s="21">
        <f>E87-E91</f>
        <v/>
      </c>
      <c r="F92" s="21">
        <f>F87-F91</f>
        <v/>
      </c>
      <c r="G92" s="21">
        <f>G87-G91</f>
        <v/>
      </c>
      <c r="H92" s="21">
        <f>H87-H91</f>
        <v/>
      </c>
      <c r="I92" s="21">
        <f>I87-I91</f>
        <v/>
      </c>
      <c r="J92" s="21">
        <f>J87-J91</f>
        <v/>
      </c>
      <c r="K92" s="21">
        <f>K87-K91</f>
        <v/>
      </c>
      <c r="L92" s="21">
        <f>L87-L91</f>
        <v/>
      </c>
      <c r="M92" s="21">
        <f>M87-M91</f>
        <v/>
      </c>
      <c r="N92" s="10" t="inlineStr">
        <is>
          <t>$M</t>
        </is>
      </c>
      <c r="O92" s="10" t="inlineStr">
        <is>
          <t>Zero under profits released; would be positive under profits retained.</t>
        </is>
      </c>
    </row>
    <row r="93">
      <c r="B93" s="7" t="inlineStr">
        <is>
          <t>Distributable cash flow to shareholders (discounted below)</t>
        </is>
      </c>
      <c r="D93" s="21">
        <f>D91</f>
        <v/>
      </c>
      <c r="E93" s="21">
        <f>E91</f>
        <v/>
      </c>
      <c r="F93" s="21">
        <f>F91</f>
        <v/>
      </c>
      <c r="G93" s="21">
        <f>G91</f>
        <v/>
      </c>
      <c r="H93" s="21">
        <f>H91</f>
        <v/>
      </c>
      <c r="I93" s="21">
        <f>I91</f>
        <v/>
      </c>
      <c r="J93" s="21">
        <f>J91</f>
        <v/>
      </c>
      <c r="K93" s="21">
        <f>K91</f>
        <v/>
      </c>
      <c r="L93" s="21">
        <f>L91</f>
        <v/>
      </c>
      <c r="M93" s="21">
        <f>M91</f>
        <v/>
      </c>
      <c r="N93" s="10" t="inlineStr">
        <is>
          <t>$M</t>
        </is>
      </c>
      <c r="O93" s="10" t="inlineStr"/>
    </row>
    <row r="94">
      <c r="B94" s="7" t="inlineStr">
        <is>
          <t>Discount rate used (from scenario block)</t>
        </is>
      </c>
      <c r="C94" s="19">
        <f>D54</f>
        <v/>
      </c>
      <c r="N94" s="10" t="inlineStr">
        <is>
          <t>%</t>
        </is>
      </c>
      <c r="O94" s="10" t="inlineStr">
        <is>
          <t>Reads the scenario-run discount rate so a discount-rate shock flows through.</t>
        </is>
      </c>
    </row>
    <row r="95">
      <c r="B95" s="7" t="inlineStr">
        <is>
          <t>Terminal value = shareholders' equity at end of FY2036</t>
        </is>
      </c>
      <c r="C95" s="21">
        <f>M110</f>
        <v/>
      </c>
      <c r="N95" s="10" t="inlineStr">
        <is>
          <t>$M</t>
        </is>
      </c>
      <c r="O95" s="10" t="inlineStr"/>
    </row>
    <row r="96">
      <c r="B96" s="7" t="inlineStr">
        <is>
          <t>PV of FY2027-FY2036 distributable cash flows</t>
        </is>
      </c>
      <c r="C96" s="21">
        <f>NPV(C94,D93:M93)</f>
        <v/>
      </c>
      <c r="N96" s="10" t="inlineStr">
        <is>
          <t>$M</t>
        </is>
      </c>
      <c r="O96" s="10" t="inlineStr">
        <is>
          <t>NPV over the 10 model years (end-of-year cash flows).</t>
        </is>
      </c>
    </row>
    <row r="97">
      <c r="B97" s="7" t="inlineStr">
        <is>
          <t>PV of terminal value</t>
        </is>
      </c>
      <c r="C97" s="21">
        <f>C95/(1+C94)^10</f>
        <v/>
      </c>
      <c r="N97" s="10" t="inlineStr">
        <is>
          <t>$M</t>
        </is>
      </c>
      <c r="O97" s="10" t="inlineStr">
        <is>
          <t>Terminal equity discounted 10 years.</t>
        </is>
      </c>
    </row>
    <row r="98">
      <c r="B98" s="3" t="inlineStr">
        <is>
          <t>SEGMENT VALUE - BASELINE (snapshot, hard-coded for 3(d) comparison)</t>
        </is>
      </c>
      <c r="C98" s="27" t="n">
        <v>3452.22</v>
      </c>
      <c r="N98" s="10" t="inlineStr">
        <is>
          <t>$M</t>
        </is>
      </c>
      <c r="O98" s="10" t="inlineStr">
        <is>
          <t>Hard-coded copy of the live value (blue). In 3(d), shocks move the SCENARIO value; this stays fixed.</t>
        </is>
      </c>
    </row>
    <row r="99">
      <c r="B99" s="3" t="inlineStr">
        <is>
          <t>SEGMENT VALUE - SCENARIO RUN (live formula)</t>
        </is>
      </c>
      <c r="C99" s="26">
        <f>C96+C97</f>
        <v/>
      </c>
      <c r="N99" s="10" t="inlineStr">
        <is>
          <t>$M</t>
        </is>
      </c>
      <c r="O99" s="10" t="inlineStr">
        <is>
          <t>PV of distributable cash flows + PV of terminal equity.</t>
        </is>
      </c>
    </row>
    <row r="100">
      <c r="B100" s="7" t="inlineStr">
        <is>
          <t>% change vs baseline</t>
        </is>
      </c>
      <c r="C100" s="19">
        <f>IF(C98=0,0,C99/C98-1)</f>
        <v/>
      </c>
      <c r="N100" s="10" t="inlineStr">
        <is>
          <t>%</t>
        </is>
      </c>
      <c r="O100" s="10" t="inlineStr"/>
    </row>
    <row r="101">
      <c r="B101" s="7" t="inlineStr">
        <is>
          <t>$ change vs baseline</t>
        </is>
      </c>
      <c r="C101" s="21">
        <f>C99-C98</f>
        <v/>
      </c>
      <c r="N101" s="10" t="inlineStr">
        <is>
          <t>$M</t>
        </is>
      </c>
      <c r="O101" s="10" t="inlineStr"/>
    </row>
    <row r="102"/>
    <row r="103">
      <c r="A103" s="22" t="inlineStr">
        <is>
          <t>Balance sheet</t>
        </is>
      </c>
      <c r="B103" s="23" t="inlineStr">
        <is>
          <t>BALANCE SHEET (simplified, cash basis, year-end)</t>
        </is>
      </c>
      <c r="C103" s="24" t="n"/>
      <c r="D103" s="24" t="n"/>
      <c r="E103" s="24" t="n"/>
      <c r="F103" s="24" t="n"/>
      <c r="G103" s="24" t="n"/>
      <c r="H103" s="24" t="n"/>
      <c r="I103" s="24" t="n"/>
      <c r="J103" s="24" t="n"/>
      <c r="K103" s="24" t="n"/>
      <c r="L103" s="24" t="n"/>
      <c r="M103" s="24" t="n"/>
      <c r="N103" s="24" t="n"/>
      <c r="O103" s="24" t="n"/>
    </row>
    <row r="104">
      <c r="B104" s="7" t="inlineStr">
        <is>
          <t>Invested assets (cash &amp; cash equivalents)</t>
        </is>
      </c>
      <c r="C104" s="20" t="n">
        <v>817</v>
      </c>
      <c r="D104" s="21">
        <f>C104+D92</f>
        <v/>
      </c>
      <c r="E104" s="21">
        <f>D104+E92</f>
        <v/>
      </c>
      <c r="F104" s="21">
        <f>E104+F92</f>
        <v/>
      </c>
      <c r="G104" s="21">
        <f>F104+G92</f>
        <v/>
      </c>
      <c r="H104" s="21">
        <f>G104+H92</f>
        <v/>
      </c>
      <c r="I104" s="21">
        <f>H104+I92</f>
        <v/>
      </c>
      <c r="J104" s="21">
        <f>I104+J92</f>
        <v/>
      </c>
      <c r="K104" s="21">
        <f>J104+K92</f>
        <v/>
      </c>
      <c r="L104" s="21">
        <f>K104+L92</f>
        <v/>
      </c>
      <c r="M104" s="21">
        <f>L104+M92</f>
        <v/>
      </c>
      <c r="N104" s="10" t="inlineStr">
        <is>
          <t>$M</t>
        </is>
      </c>
      <c r="O104" s="10" t="inlineStr">
        <is>
          <t>Static under profits released (grows only by retained earnings).</t>
        </is>
      </c>
    </row>
    <row r="105">
      <c r="B105" s="7" t="inlineStr">
        <is>
          <t>Inventory and other non-depreciating operating assets</t>
        </is>
      </c>
      <c r="C105" s="20" t="n">
        <v>1812</v>
      </c>
      <c r="D105" s="21">
        <f>C105</f>
        <v/>
      </c>
      <c r="E105" s="21">
        <f>D105</f>
        <v/>
      </c>
      <c r="F105" s="21">
        <f>E105</f>
        <v/>
      </c>
      <c r="G105" s="21">
        <f>F105</f>
        <v/>
      </c>
      <c r="H105" s="21">
        <f>G105</f>
        <v/>
      </c>
      <c r="I105" s="21">
        <f>H105</f>
        <v/>
      </c>
      <c r="J105" s="21">
        <f>I105</f>
        <v/>
      </c>
      <c r="K105" s="21">
        <f>J105</f>
        <v/>
      </c>
      <c r="L105" s="21">
        <f>K105</f>
        <v/>
      </c>
      <c r="M105" s="21">
        <f>L105</f>
        <v/>
      </c>
      <c r="N105" s="10" t="inlineStr">
        <is>
          <t>$M</t>
        </is>
      </c>
      <c r="O105" s="10" t="inlineStr">
        <is>
          <t>Non-depreciating operating asset held flat (no working-capital build modelled).</t>
        </is>
      </c>
    </row>
    <row r="106">
      <c r="B106" s="3" t="inlineStr">
        <is>
          <t>Total assets</t>
        </is>
      </c>
      <c r="C106" s="26">
        <f>C104+C105</f>
        <v/>
      </c>
      <c r="D106" s="26">
        <f>D104+D105</f>
        <v/>
      </c>
      <c r="E106" s="26">
        <f>E104+E105</f>
        <v/>
      </c>
      <c r="F106" s="26">
        <f>F104+F105</f>
        <v/>
      </c>
      <c r="G106" s="26">
        <f>G104+G105</f>
        <v/>
      </c>
      <c r="H106" s="26">
        <f>H104+H105</f>
        <v/>
      </c>
      <c r="I106" s="26">
        <f>I104+I105</f>
        <v/>
      </c>
      <c r="J106" s="26">
        <f>J104+J105</f>
        <v/>
      </c>
      <c r="K106" s="26">
        <f>K104+K105</f>
        <v/>
      </c>
      <c r="L106" s="26">
        <f>L104+L105</f>
        <v/>
      </c>
      <c r="M106" s="26">
        <f>M104+M105</f>
        <v/>
      </c>
      <c r="N106" s="10" t="inlineStr">
        <is>
          <t>$M</t>
        </is>
      </c>
      <c r="O106" s="10" t="inlineStr"/>
    </row>
    <row r="107">
      <c r="B107" s="7" t="inlineStr">
        <is>
          <t>Debt</t>
        </is>
      </c>
      <c r="C107" s="20" t="n">
        <v>0</v>
      </c>
      <c r="D107" s="21">
        <f>C107</f>
        <v/>
      </c>
      <c r="E107" s="21">
        <f>D107</f>
        <v/>
      </c>
      <c r="F107" s="21">
        <f>E107</f>
        <v/>
      </c>
      <c r="G107" s="21">
        <f>F107</f>
        <v/>
      </c>
      <c r="H107" s="21">
        <f>G107</f>
        <v/>
      </c>
      <c r="I107" s="21">
        <f>H107</f>
        <v/>
      </c>
      <c r="J107" s="21">
        <f>I107</f>
        <v/>
      </c>
      <c r="K107" s="21">
        <f>J107</f>
        <v/>
      </c>
      <c r="L107" s="21">
        <f>K107</f>
        <v/>
      </c>
      <c r="M107" s="21">
        <f>L107</f>
        <v/>
      </c>
      <c r="N107" s="10" t="inlineStr">
        <is>
          <t>$M</t>
        </is>
      </c>
      <c r="O107" s="10" t="inlineStr"/>
    </row>
    <row r="108">
      <c r="B108" s="7" t="inlineStr">
        <is>
          <t>Other liabilities, net (calibrated to reported equity)</t>
        </is>
      </c>
      <c r="C108" s="20" t="n">
        <v>792.7</v>
      </c>
      <c r="D108" s="21">
        <f>C108</f>
        <v/>
      </c>
      <c r="E108" s="21">
        <f>D108</f>
        <v/>
      </c>
      <c r="F108" s="21">
        <f>E108</f>
        <v/>
      </c>
      <c r="G108" s="21">
        <f>F108</f>
        <v/>
      </c>
      <c r="H108" s="21">
        <f>G108</f>
        <v/>
      </c>
      <c r="I108" s="21">
        <f>H108</f>
        <v/>
      </c>
      <c r="J108" s="21">
        <f>I108</f>
        <v/>
      </c>
      <c r="K108" s="21">
        <f>J108</f>
        <v/>
      </c>
      <c r="L108" s="21">
        <f>K108</f>
        <v/>
      </c>
      <c r="M108" s="21">
        <f>L108</f>
        <v/>
      </c>
      <c r="N108" s="10" t="inlineStr">
        <is>
          <t>$M</t>
        </is>
      </c>
      <c r="O108" s="10" t="inlineStr">
        <is>
          <t>Plug so that FY2026A simplified equity = reported shareholders' equity 1,966.2.</t>
        </is>
      </c>
    </row>
    <row r="109">
      <c r="B109" s="3" t="inlineStr">
        <is>
          <t>Total liabilities</t>
        </is>
      </c>
      <c r="C109" s="26">
        <f>C107+C108</f>
        <v/>
      </c>
      <c r="D109" s="26">
        <f>D107+D108</f>
        <v/>
      </c>
      <c r="E109" s="26">
        <f>E107+E108</f>
        <v/>
      </c>
      <c r="F109" s="26">
        <f>F107+F108</f>
        <v/>
      </c>
      <c r="G109" s="26">
        <f>G107+G108</f>
        <v/>
      </c>
      <c r="H109" s="26">
        <f>H107+H108</f>
        <v/>
      </c>
      <c r="I109" s="26">
        <f>I107+I108</f>
        <v/>
      </c>
      <c r="J109" s="26">
        <f>J107+J108</f>
        <v/>
      </c>
      <c r="K109" s="26">
        <f>K107+K108</f>
        <v/>
      </c>
      <c r="L109" s="26">
        <f>L107+L108</f>
        <v/>
      </c>
      <c r="M109" s="26">
        <f>M107+M108</f>
        <v/>
      </c>
      <c r="N109" s="10" t="inlineStr">
        <is>
          <t>$M</t>
        </is>
      </c>
      <c r="O109" s="10" t="inlineStr"/>
    </row>
    <row r="110">
      <c r="B110" s="3" t="inlineStr">
        <is>
          <t>SHAREHOLDERS' EQUITY</t>
        </is>
      </c>
      <c r="C110" s="26">
        <f>C106-C109</f>
        <v/>
      </c>
      <c r="D110" s="26">
        <f>D106-D109</f>
        <v/>
      </c>
      <c r="E110" s="26">
        <f>E106-E109</f>
        <v/>
      </c>
      <c r="F110" s="26">
        <f>F106-F109</f>
        <v/>
      </c>
      <c r="G110" s="26">
        <f>G106-G109</f>
        <v/>
      </c>
      <c r="H110" s="26">
        <f>H106-H109</f>
        <v/>
      </c>
      <c r="I110" s="26">
        <f>I106-I109</f>
        <v/>
      </c>
      <c r="J110" s="26">
        <f>J106-J109</f>
        <v/>
      </c>
      <c r="K110" s="26">
        <f>K106-K109</f>
        <v/>
      </c>
      <c r="L110" s="26">
        <f>L106-L109</f>
        <v/>
      </c>
      <c r="M110" s="26">
        <f>M106-M109</f>
        <v/>
      </c>
      <c r="N110" s="10" t="inlineStr">
        <is>
          <t>$M</t>
        </is>
      </c>
      <c r="O110" s="10" t="inlineStr">
        <is>
          <t>FY2026A total = 1,966.2 reported shareholders' equity.</t>
        </is>
      </c>
    </row>
    <row r="111">
      <c r="B111" s="7" t="inlineStr">
        <is>
          <t>Equity roll-forward check: Equity(t) - [Equity(t-1) + Net income(t) - Distributions(t)]  (= 0)</t>
        </is>
      </c>
      <c r="D111" s="21">
        <f>D110-(C110+D87-D91)</f>
        <v/>
      </c>
      <c r="E111" s="21">
        <f>E110-(D110+E87-E91)</f>
        <v/>
      </c>
      <c r="F111" s="21">
        <f>F110-(E110+F87-F91)</f>
        <v/>
      </c>
      <c r="G111" s="21">
        <f>G110-(F110+G87-G91)</f>
        <v/>
      </c>
      <c r="H111" s="21">
        <f>H110-(G110+H87-H91)</f>
        <v/>
      </c>
      <c r="I111" s="21">
        <f>I110-(H110+I87-I91)</f>
        <v/>
      </c>
      <c r="J111" s="21">
        <f>J110-(I110+J87-J91)</f>
        <v/>
      </c>
      <c r="K111" s="21">
        <f>K110-(J110+K87-K91)</f>
        <v/>
      </c>
      <c r="L111" s="21">
        <f>L110-(K110+L87-L91)</f>
        <v/>
      </c>
      <c r="M111" s="21">
        <f>M110-(L110+M87-M91)</f>
        <v/>
      </c>
      <c r="N111" s="10" t="inlineStr">
        <is>
          <t>$M</t>
        </is>
      </c>
      <c r="O111" s="10" t="inlineStr"/>
    </row>
    <row r="112">
      <c r="B112" s="7" t="inlineStr">
        <is>
          <t>Balance check: Total assets - Total liabilities - Equity  (= 0)</t>
        </is>
      </c>
      <c r="C112" s="21">
        <f>C106-C109-C110</f>
        <v/>
      </c>
      <c r="D112" s="21">
        <f>D106-D109-D110</f>
        <v/>
      </c>
      <c r="E112" s="21">
        <f>E106-E109-E110</f>
        <v/>
      </c>
      <c r="F112" s="21">
        <f>F106-F109-F110</f>
        <v/>
      </c>
      <c r="G112" s="21">
        <f>G106-G109-G110</f>
        <v/>
      </c>
      <c r="H112" s="21">
        <f>H106-H109-H110</f>
        <v/>
      </c>
      <c r="I112" s="21">
        <f>I106-I109-I110</f>
        <v/>
      </c>
      <c r="J112" s="21">
        <f>J106-J109-J110</f>
        <v/>
      </c>
      <c r="K112" s="21">
        <f>K106-K109-K110</f>
        <v/>
      </c>
      <c r="L112" s="21">
        <f>L106-L109-L110</f>
        <v/>
      </c>
      <c r="M112" s="21">
        <f>M106-M109-M110</f>
        <v/>
      </c>
      <c r="N112" s="10" t="inlineStr">
        <is>
          <t>$M</t>
        </is>
      </c>
      <c r="O112" s="10" t="inlineStr"/>
    </row>
  </sheetData>
  <pageMargins left="0.75" right="0.75" top="1" bottom="1" header="0.5" footer="0.5"/>
  <pageSetup orientation="landscape" paperSize="1"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O112"/>
  <sheetViews>
    <sheetView zoomScale="9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66" customWidth="1" min="2" max="2"/>
    <col width="17"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7" customWidth="1" min="14" max="14"/>
    <col width="60" customWidth="1" min="15" max="15"/>
  </cols>
  <sheetData>
    <row r="1">
      <c r="A1" s="1" t="inlineStr">
        <is>
          <t>Signet Jewelers - Baseline Value-Based ERM Model - Segment: International</t>
        </is>
      </c>
    </row>
    <row r="2">
      <c r="A2" s="10" t="inlineStr">
        <is>
          <t>International reportable segment: H.Samuel and Ernest Jones stores and e-commerce in the UK and the Republic of Ireland.  Units: $ millions (one decimal) unless stated; fiscal years end about January 31 (FY2026 = year ended Jan 31, 2026). Blue = hard-coded input, black = formula, green = link to another tab.</t>
        </is>
      </c>
    </row>
    <row r="3">
      <c r="A3" s="11" t="inlineStr">
        <is>
          <t>Section</t>
        </is>
      </c>
      <c r="B3" s="11" t="inlineStr">
        <is>
          <t>Line item</t>
        </is>
      </c>
      <c r="C3" s="15" t="inlineStr">
        <is>
          <t>Last Yr (FY2026A)</t>
        </is>
      </c>
      <c r="D3" s="15" t="inlineStr">
        <is>
          <t>FY2027</t>
        </is>
      </c>
      <c r="E3" s="15" t="inlineStr">
        <is>
          <t>FY2028</t>
        </is>
      </c>
      <c r="F3" s="15" t="inlineStr">
        <is>
          <t>FY2029</t>
        </is>
      </c>
      <c r="G3" s="15" t="inlineStr">
        <is>
          <t>FY2030</t>
        </is>
      </c>
      <c r="H3" s="15" t="inlineStr">
        <is>
          <t>FY2031</t>
        </is>
      </c>
      <c r="I3" s="15" t="inlineStr">
        <is>
          <t>FY2032</t>
        </is>
      </c>
      <c r="J3" s="15" t="inlineStr">
        <is>
          <t>FY2033</t>
        </is>
      </c>
      <c r="K3" s="15" t="inlineStr">
        <is>
          <t>FY2034</t>
        </is>
      </c>
      <c r="L3" s="15" t="inlineStr">
        <is>
          <t>FY2035</t>
        </is>
      </c>
      <c r="M3" s="15" t="inlineStr">
        <is>
          <t>FY2036</t>
        </is>
      </c>
      <c r="N3" s="11" t="inlineStr">
        <is>
          <t>Units</t>
        </is>
      </c>
      <c r="O3" s="11" t="inlineStr">
        <is>
          <t>Notes</t>
        </is>
      </c>
    </row>
    <row r="4"/>
    <row r="5">
      <c r="A5" s="12" t="inlineStr">
        <is>
          <t>BASELINE ASSUMPTIONS (blue = hard-coded input; black '=previous cell' carries an assumption forward)</t>
        </is>
      </c>
      <c r="B5" s="13" t="n"/>
      <c r="C5" s="13" t="n"/>
      <c r="D5" s="13" t="n"/>
      <c r="E5" s="13" t="n"/>
      <c r="F5" s="13" t="n"/>
      <c r="G5" s="13" t="n"/>
      <c r="H5" s="13" t="n"/>
      <c r="I5" s="13" t="n"/>
      <c r="J5" s="13" t="n"/>
      <c r="K5" s="13" t="n"/>
      <c r="L5" s="13" t="n"/>
      <c r="M5" s="13" t="n"/>
      <c r="N5" s="13" t="n"/>
      <c r="O5" s="13" t="n"/>
    </row>
    <row r="6">
      <c r="A6" s="10" t="inlineStr">
        <is>
          <t>Baseline</t>
        </is>
      </c>
      <c r="B6" s="7" t="inlineStr">
        <is>
          <t>Gross store openings (number of stores)</t>
        </is>
      </c>
      <c r="C6" s="16">
        <f>C59</f>
        <v/>
      </c>
      <c r="D6" s="17" t="n">
        <v>2</v>
      </c>
      <c r="E6" s="16">
        <f>D6</f>
        <v/>
      </c>
      <c r="F6" s="16">
        <f>E6</f>
        <v/>
      </c>
      <c r="G6" s="16">
        <f>F6</f>
        <v/>
      </c>
      <c r="H6" s="16">
        <f>G6</f>
        <v/>
      </c>
      <c r="I6" s="16">
        <f>H6</f>
        <v/>
      </c>
      <c r="J6" s="16">
        <f>I6</f>
        <v/>
      </c>
      <c r="K6" s="16">
        <f>J6</f>
        <v/>
      </c>
      <c r="L6" s="16">
        <f>K6</f>
        <v/>
      </c>
      <c r="M6" s="16">
        <f>L6</f>
        <v/>
      </c>
      <c r="N6" s="10" t="inlineStr">
        <is>
          <t># stores</t>
        </is>
      </c>
      <c r="O6" s="10" t="inlineStr">
        <is>
          <t>Gross openings; net of closures drives average stores.</t>
        </is>
      </c>
    </row>
    <row r="7">
      <c r="A7" s="10" t="inlineStr">
        <is>
          <t>Baseline</t>
        </is>
      </c>
      <c r="B7" s="7" t="inlineStr">
        <is>
          <t>Store closures (number of stores)</t>
        </is>
      </c>
      <c r="C7" s="16">
        <f>C60</f>
        <v/>
      </c>
      <c r="D7" s="17" t="n">
        <v>4</v>
      </c>
      <c r="E7" s="17" t="n">
        <v>5</v>
      </c>
      <c r="F7" s="16">
        <f>E7</f>
        <v/>
      </c>
      <c r="G7" s="16">
        <f>F7</f>
        <v/>
      </c>
      <c r="H7" s="16">
        <f>G7</f>
        <v/>
      </c>
      <c r="I7" s="17" t="n">
        <v>4</v>
      </c>
      <c r="J7" s="16">
        <f>I7</f>
        <v/>
      </c>
      <c r="K7" s="16">
        <f>J7</f>
        <v/>
      </c>
      <c r="L7" s="16">
        <f>K7</f>
        <v/>
      </c>
      <c r="M7" s="16">
        <f>L7</f>
        <v/>
      </c>
      <c r="N7" s="10" t="inlineStr">
        <is>
          <t># stores</t>
        </is>
      </c>
      <c r="O7" s="10" t="inlineStr">
        <is>
          <t>Fleet optimisation: mall closures / off-mall repositioning (net sq ft 'low-single-digit decline' guidance).</t>
        </is>
      </c>
    </row>
    <row r="8">
      <c r="A8" s="10" t="inlineStr">
        <is>
          <t>Baseline</t>
        </is>
      </c>
      <c r="B8" s="7" t="inlineStr">
        <is>
          <t>Same-store sales growth (applied to merchandise sales per average store)</t>
        </is>
      </c>
      <c r="C8" s="18" t="n">
        <v>0.026</v>
      </c>
      <c r="D8" s="18" t="n">
        <v>0.02</v>
      </c>
      <c r="E8" s="19">
        <f>D8</f>
        <v/>
      </c>
      <c r="F8" s="19">
        <f>E8</f>
        <v/>
      </c>
      <c r="G8" s="19">
        <f>F8</f>
        <v/>
      </c>
      <c r="H8" s="19">
        <f>G8</f>
        <v/>
      </c>
      <c r="I8" s="19">
        <f>H8</f>
        <v/>
      </c>
      <c r="J8" s="19">
        <f>I8</f>
        <v/>
      </c>
      <c r="K8" s="19">
        <f>J8</f>
        <v/>
      </c>
      <c r="L8" s="19">
        <f>K8</f>
        <v/>
      </c>
      <c r="M8" s="19">
        <f>L8</f>
        <v/>
      </c>
      <c r="N8" s="10" t="inlineStr">
        <is>
          <t>% p.a.</t>
        </is>
      </c>
      <c r="O8" s="10" t="inlineStr">
        <is>
          <t>Price/mix + traffic growth applied to sales per average store.</t>
        </is>
      </c>
    </row>
    <row r="9">
      <c r="A9" s="10" t="inlineStr">
        <is>
          <t>Baseline</t>
        </is>
      </c>
      <c r="B9" s="7" t="inlineStr">
        <is>
          <t>E-commerce merchandise sales growth</t>
        </is>
      </c>
      <c r="D9" s="18" t="n">
        <v>0.03</v>
      </c>
      <c r="E9" s="19">
        <f>D9</f>
        <v/>
      </c>
      <c r="F9" s="19">
        <f>E9</f>
        <v/>
      </c>
      <c r="G9" s="19">
        <f>F9</f>
        <v/>
      </c>
      <c r="H9" s="19">
        <f>G9</f>
        <v/>
      </c>
      <c r="I9" s="19">
        <f>H9</f>
        <v/>
      </c>
      <c r="J9" s="19">
        <f>I9</f>
        <v/>
      </c>
      <c r="K9" s="19">
        <f>J9</f>
        <v/>
      </c>
      <c r="L9" s="19">
        <f>K9</f>
        <v/>
      </c>
      <c r="M9" s="19">
        <f>L9</f>
        <v/>
      </c>
      <c r="N9" s="10" t="inlineStr">
        <is>
          <t>% p.a.</t>
        </is>
      </c>
      <c r="O9" s="10" t="inlineStr">
        <is>
          <t>Includes digital-native brands (NA) and store-brand online sales.</t>
        </is>
      </c>
    </row>
    <row r="10">
      <c r="A10" s="10" t="inlineStr">
        <is>
          <t>Baseline</t>
        </is>
      </c>
      <c r="B10" s="7" t="inlineStr">
        <is>
          <t>Services attach rate (services revenue as % of merchandise sales)</t>
        </is>
      </c>
      <c r="C10" s="19">
        <f>IF(C66+C67=0,0,C68/(C66+C67))</f>
        <v/>
      </c>
      <c r="D10" s="18" t="n">
        <v>0.111</v>
      </c>
      <c r="E10" s="19">
        <f>D10</f>
        <v/>
      </c>
      <c r="F10" s="19">
        <f>E10</f>
        <v/>
      </c>
      <c r="G10" s="19">
        <f>F10</f>
        <v/>
      </c>
      <c r="H10" s="19">
        <f>G10</f>
        <v/>
      </c>
      <c r="I10" s="19">
        <f>H10</f>
        <v/>
      </c>
      <c r="J10" s="19">
        <f>I10</f>
        <v/>
      </c>
      <c r="K10" s="19">
        <f>J10</f>
        <v/>
      </c>
      <c r="L10" s="19">
        <f>K10</f>
        <v/>
      </c>
      <c r="M10" s="19">
        <f>L10</f>
        <v/>
      </c>
      <c r="N10" s="10" t="inlineStr">
        <is>
          <t>% of merch.</t>
        </is>
      </c>
      <c r="O10" s="10" t="inlineStr">
        <is>
          <t>Extended service plans, repairs, custom design.</t>
        </is>
      </c>
    </row>
    <row r="11">
      <c r="A11" s="10" t="inlineStr">
        <is>
          <t>Baseline</t>
        </is>
      </c>
      <c r="B11" s="7" t="inlineStr">
        <is>
          <t>Other (non-retail / diamond sourcing) revenue growth</t>
        </is>
      </c>
      <c r="D11" s="18" t="n">
        <v>0</v>
      </c>
      <c r="E11" s="19">
        <f>D11</f>
        <v/>
      </c>
      <c r="F11" s="19">
        <f>E11</f>
        <v/>
      </c>
      <c r="G11" s="19">
        <f>F11</f>
        <v/>
      </c>
      <c r="H11" s="19">
        <f>G11</f>
        <v/>
      </c>
      <c r="I11" s="19">
        <f>H11</f>
        <v/>
      </c>
      <c r="J11" s="19">
        <f>I11</f>
        <v/>
      </c>
      <c r="K11" s="19">
        <f>J11</f>
        <v/>
      </c>
      <c r="L11" s="19">
        <f>K11</f>
        <v/>
      </c>
      <c r="M11" s="19">
        <f>L11</f>
        <v/>
      </c>
      <c r="N11" s="10" t="inlineStr">
        <is>
          <t>% p.a.</t>
        </is>
      </c>
      <c r="O11" s="10" t="inlineStr">
        <is>
          <t>Only the diamond-sourcing sales in OTHER are non-zero.</t>
        </is>
      </c>
    </row>
    <row r="12">
      <c r="A12" s="10" t="inlineStr">
        <is>
          <t>Baseline</t>
        </is>
      </c>
      <c r="B12" s="7" t="inlineStr">
        <is>
          <t>Cost of sales (incl. store occupancy) as % of total sales</t>
        </is>
      </c>
      <c r="C12" s="19">
        <f>IF(C70=0,0,C72/C70)</f>
        <v/>
      </c>
      <c r="D12" s="18" t="n">
        <v>0.68</v>
      </c>
      <c r="E12" s="19">
        <f>D12</f>
        <v/>
      </c>
      <c r="F12" s="19">
        <f>E12</f>
        <v/>
      </c>
      <c r="G12" s="19">
        <f>F12</f>
        <v/>
      </c>
      <c r="H12" s="19">
        <f>G12</f>
        <v/>
      </c>
      <c r="I12" s="19">
        <f>H12</f>
        <v/>
      </c>
      <c r="J12" s="19">
        <f>I12</f>
        <v/>
      </c>
      <c r="K12" s="19">
        <f>J12</f>
        <v/>
      </c>
      <c r="L12" s="19">
        <f>K12</f>
        <v/>
      </c>
      <c r="M12" s="19">
        <f>L12</f>
        <v/>
      </c>
      <c r="N12" s="10" t="inlineStr">
        <is>
          <t>% of sales</t>
        </is>
      </c>
      <c r="O12" s="10" t="inlineStr">
        <is>
          <t>Signet books store occupancy in cost of sales; 1 - this = gross margin %.</t>
        </is>
      </c>
    </row>
    <row r="13">
      <c r="A13" s="10" t="inlineStr">
        <is>
          <t>Baseline</t>
        </is>
      </c>
      <c r="B13" s="7" t="inlineStr">
        <is>
          <t>Variable SG&amp;A (store payroll, advertising, credit) as % of total sales</t>
        </is>
      </c>
      <c r="C13" s="19">
        <f>IF(C70=0,0,C75/C70)</f>
        <v/>
      </c>
      <c r="D13" s="18" t="n">
        <v>0.15</v>
      </c>
      <c r="E13" s="19">
        <f>D13</f>
        <v/>
      </c>
      <c r="F13" s="19">
        <f>E13</f>
        <v/>
      </c>
      <c r="G13" s="19">
        <f>F13</f>
        <v/>
      </c>
      <c r="H13" s="19">
        <f>G13</f>
        <v/>
      </c>
      <c r="I13" s="19">
        <f>H13</f>
        <v/>
      </c>
      <c r="J13" s="19">
        <f>I13</f>
        <v/>
      </c>
      <c r="K13" s="19">
        <f>J13</f>
        <v/>
      </c>
      <c r="L13" s="19">
        <f>K13</f>
        <v/>
      </c>
      <c r="M13" s="19">
        <f>L13</f>
        <v/>
      </c>
      <c r="N13" s="10" t="inlineStr">
        <is>
          <t>% of sales</t>
        </is>
      </c>
      <c r="O13" s="10" t="inlineStr">
        <is>
          <t>Marginal expenses that move with sales.</t>
        </is>
      </c>
    </row>
    <row r="14">
      <c r="A14" s="10" t="inlineStr">
        <is>
          <t>Baseline</t>
        </is>
      </c>
      <c r="B14" s="7" t="inlineStr">
        <is>
          <t>Fixed SG&amp;A inflation (corporate, support, fixed store overhead)</t>
        </is>
      </c>
      <c r="D14" s="18" t="n">
        <v>0.03</v>
      </c>
      <c r="E14" s="18" t="n">
        <v>0.025</v>
      </c>
      <c r="F14" s="18" t="n">
        <v>0.02</v>
      </c>
      <c r="G14" s="19">
        <f>F14</f>
        <v/>
      </c>
      <c r="H14" s="19">
        <f>G14</f>
        <v/>
      </c>
      <c r="I14" s="19">
        <f>H14</f>
        <v/>
      </c>
      <c r="J14" s="19">
        <f>I14</f>
        <v/>
      </c>
      <c r="K14" s="19">
        <f>J14</f>
        <v/>
      </c>
      <c r="L14" s="19">
        <f>K14</f>
        <v/>
      </c>
      <c r="M14" s="19">
        <f>L14</f>
        <v/>
      </c>
      <c r="N14" s="10" t="inlineStr">
        <is>
          <t>% p.a.</t>
        </is>
      </c>
      <c r="O14" s="10" t="inlineStr">
        <is>
          <t>Fixed expenses grow with inflation (Session 6 guidance).</t>
        </is>
      </c>
    </row>
    <row r="15">
      <c r="A15" s="10" t="inlineStr">
        <is>
          <t>Baseline</t>
        </is>
      </c>
      <c r="B15" s="7" t="inlineStr">
        <is>
          <t>Cost-savings initiatives (incremental run-rate cut to fixed SG&amp;A)</t>
        </is>
      </c>
      <c r="D15" s="20" t="n">
        <v>0</v>
      </c>
      <c r="E15" s="21">
        <f>D15</f>
        <v/>
      </c>
      <c r="F15" s="21">
        <f>E15</f>
        <v/>
      </c>
      <c r="G15" s="21">
        <f>F15</f>
        <v/>
      </c>
      <c r="H15" s="21">
        <f>G15</f>
        <v/>
      </c>
      <c r="I15" s="21">
        <f>H15</f>
        <v/>
      </c>
      <c r="J15" s="21">
        <f>I15</f>
        <v/>
      </c>
      <c r="K15" s="21">
        <f>J15</f>
        <v/>
      </c>
      <c r="L15" s="21">
        <f>K15</f>
        <v/>
      </c>
      <c r="M15" s="21">
        <f>L15</f>
        <v/>
      </c>
      <c r="N15" s="10" t="inlineStr">
        <is>
          <t>$M</t>
        </is>
      </c>
      <c r="O15" s="10" t="inlineStr">
        <is>
          <t>Zero: no quantified cost-savings programme disclosed. Row kept for shocks.</t>
        </is>
      </c>
    </row>
    <row r="16">
      <c r="A16" s="10" t="inlineStr">
        <is>
          <t>Baseline</t>
        </is>
      </c>
      <c r="B16" s="7" t="inlineStr">
        <is>
          <t>Other operating income / (expense), one-time items (+ = income)</t>
        </is>
      </c>
      <c r="C16" s="21">
        <f>C79</f>
        <v/>
      </c>
      <c r="D16" s="20" t="n">
        <v>0</v>
      </c>
      <c r="E16" s="21">
        <f>D16</f>
        <v/>
      </c>
      <c r="F16" s="21">
        <f>E16</f>
        <v/>
      </c>
      <c r="G16" s="21">
        <f>F16</f>
        <v/>
      </c>
      <c r="H16" s="21">
        <f>G16</f>
        <v/>
      </c>
      <c r="I16" s="21">
        <f>H16</f>
        <v/>
      </c>
      <c r="J16" s="21">
        <f>I16</f>
        <v/>
      </c>
      <c r="K16" s="21">
        <f>J16</f>
        <v/>
      </c>
      <c r="L16" s="21">
        <f>K16</f>
        <v/>
      </c>
      <c r="M16" s="21">
        <f>L16</f>
        <v/>
      </c>
      <c r="N16" s="10" t="inlineStr">
        <is>
          <t>$M</t>
        </is>
      </c>
      <c r="O16" s="10" t="inlineStr">
        <is>
          <t>FY2027 NA: +30 tariff refunds expected by management; impairments/restructuring assumed nil going forward.</t>
        </is>
      </c>
    </row>
    <row r="17">
      <c r="A17" s="10" t="inlineStr">
        <is>
          <t>Baseline</t>
        </is>
      </c>
      <c r="B17" s="7" t="inlineStr">
        <is>
          <t>Net yield on invested assets (cash &amp; equivalents)</t>
        </is>
      </c>
      <c r="D17" s="18" t="n">
        <v>0.007</v>
      </c>
      <c r="E17" s="19">
        <f>D17</f>
        <v/>
      </c>
      <c r="F17" s="19">
        <f>E17</f>
        <v/>
      </c>
      <c r="G17" s="19">
        <f>F17</f>
        <v/>
      </c>
      <c r="H17" s="19">
        <f>G17</f>
        <v/>
      </c>
      <c r="I17" s="19">
        <f>H17</f>
        <v/>
      </c>
      <c r="J17" s="19">
        <f>I17</f>
        <v/>
      </c>
      <c r="K17" s="19">
        <f>J17</f>
        <v/>
      </c>
      <c r="L17" s="19">
        <f>K17</f>
        <v/>
      </c>
      <c r="M17" s="19">
        <f>L17</f>
        <v/>
      </c>
      <c r="N17" s="10" t="inlineStr">
        <is>
          <t>% of prior-yr cash</t>
        </is>
      </c>
      <c r="O17" s="10" t="inlineStr">
        <is>
          <t>Calibrated: reported net interest income was only 4.0 (FY26) and 9.8 (FY25) on 600-900 of cash.</t>
        </is>
      </c>
    </row>
    <row r="18">
      <c r="A18" s="10" t="inlineStr">
        <is>
          <t>Baseline</t>
        </is>
      </c>
      <c r="B18" s="7" t="inlineStr">
        <is>
          <t>Interest rate on debt (ABL revolver; debt is zero in baseline)</t>
        </is>
      </c>
      <c r="D18" s="18" t="n">
        <v>0.065</v>
      </c>
      <c r="E18" s="19">
        <f>D18</f>
        <v/>
      </c>
      <c r="F18" s="19">
        <f>E18</f>
        <v/>
      </c>
      <c r="G18" s="19">
        <f>F18</f>
        <v/>
      </c>
      <c r="H18" s="19">
        <f>G18</f>
        <v/>
      </c>
      <c r="I18" s="19">
        <f>H18</f>
        <v/>
      </c>
      <c r="J18" s="19">
        <f>I18</f>
        <v/>
      </c>
      <c r="K18" s="19">
        <f>J18</f>
        <v/>
      </c>
      <c r="L18" s="19">
        <f>K18</f>
        <v/>
      </c>
      <c r="M18" s="19">
        <f>L18</f>
        <v/>
      </c>
      <c r="N18" s="10" t="inlineStr">
        <is>
          <t>% of prior-yr debt</t>
        </is>
      </c>
      <c r="O18" s="10" t="inlineStr">
        <is>
          <t>No funded debt at FY2026A; rate kept for interest-rate / liquidity shocks.</t>
        </is>
      </c>
    </row>
    <row r="19">
      <c r="A19" s="10" t="inlineStr">
        <is>
          <t>Baseline</t>
        </is>
      </c>
      <c r="B19" s="7" t="inlineStr">
        <is>
          <t>Effective income tax rate</t>
        </is>
      </c>
      <c r="C19" s="19">
        <f>IF(C84=0,0,C86/C84)</f>
        <v/>
      </c>
      <c r="D19" s="18" t="n">
        <v>0.25</v>
      </c>
      <c r="E19" s="19">
        <f>D19</f>
        <v/>
      </c>
      <c r="F19" s="19">
        <f>E19</f>
        <v/>
      </c>
      <c r="G19" s="19">
        <f>F19</f>
        <v/>
      </c>
      <c r="H19" s="19">
        <f>G19</f>
        <v/>
      </c>
      <c r="I19" s="19">
        <f>H19</f>
        <v/>
      </c>
      <c r="J19" s="19">
        <f>I19</f>
        <v/>
      </c>
      <c r="K19" s="19">
        <f>J19</f>
        <v/>
      </c>
      <c r="L19" s="19">
        <f>K19</f>
        <v/>
      </c>
      <c r="M19" s="19">
        <f>L19</f>
        <v/>
      </c>
      <c r="N19" s="10" t="inlineStr">
        <is>
          <t>% of pre-tax</t>
        </is>
      </c>
      <c r="O19" s="10" t="inlineStr">
        <is>
          <t>FY2027 guidance 23-25% (NA/OTHER 24%); UK statutory 25% for INTL.</t>
        </is>
      </c>
    </row>
    <row r="20">
      <c r="A20" s="10" t="inlineStr">
        <is>
          <t>Baseline</t>
        </is>
      </c>
      <c r="B20" s="7" t="inlineStr">
        <is>
          <t>Discount rate (cost of equity, CAPM) - single rate for the segment</t>
        </is>
      </c>
      <c r="D20" s="18" t="n">
        <v>0.12</v>
      </c>
      <c r="N20" s="10" t="inlineStr">
        <is>
          <t>% p.a.</t>
        </is>
      </c>
      <c r="O20" s="10" t="inlineStr">
        <is>
          <t>CAPM: 5.24% + 1.25 x 4.20% = 10.5%; INTL +1.5pp premium. Single rate in the FY2027 column (as in Pear).</t>
        </is>
      </c>
    </row>
    <row r="22">
      <c r="A22" s="12" t="inlineStr">
        <is>
          <t>SHOCK TO ASSUMPTIONS - additive shocks, all ZERO in the baseline (for use in Assignment 3(d))</t>
        </is>
      </c>
      <c r="B22" s="13" t="n"/>
      <c r="C22" s="13" t="n"/>
      <c r="D22" s="13" t="n"/>
      <c r="E22" s="13" t="n"/>
      <c r="F22" s="13" t="n"/>
      <c r="G22" s="13" t="n"/>
      <c r="H22" s="13" t="n"/>
      <c r="I22" s="13" t="n"/>
      <c r="J22" s="13" t="n"/>
      <c r="K22" s="13" t="n"/>
      <c r="L22" s="13" t="n"/>
      <c r="M22" s="13" t="n"/>
      <c r="N22" s="13" t="n"/>
      <c r="O22" s="13" t="n"/>
    </row>
    <row r="23">
      <c r="A23" s="10" t="inlineStr">
        <is>
          <t>Shock</t>
        </is>
      </c>
      <c r="B23" s="7" t="inlineStr">
        <is>
          <t>Shock: Gross store openings (number of stores)</t>
        </is>
      </c>
      <c r="D23" s="17" t="n">
        <v>0</v>
      </c>
      <c r="E23" s="17" t="n">
        <v>0</v>
      </c>
      <c r="F23" s="17" t="n">
        <v>0</v>
      </c>
      <c r="G23" s="17" t="n">
        <v>0</v>
      </c>
      <c r="H23" s="17" t="n">
        <v>0</v>
      </c>
      <c r="I23" s="17" t="n">
        <v>0</v>
      </c>
      <c r="J23" s="17" t="n">
        <v>0</v>
      </c>
      <c r="K23" s="17" t="n">
        <v>0</v>
      </c>
      <c r="L23" s="17" t="n">
        <v>0</v>
      </c>
      <c r="M23" s="17" t="n">
        <v>0</v>
      </c>
      <c r="N23" s="10" t="inlineStr">
        <is>
          <t># stores</t>
        </is>
      </c>
    </row>
    <row r="24">
      <c r="A24" s="10" t="inlineStr">
        <is>
          <t>Shock</t>
        </is>
      </c>
      <c r="B24" s="7" t="inlineStr">
        <is>
          <t>Shock: Store closures (number of stores)</t>
        </is>
      </c>
      <c r="D24" s="17" t="n">
        <v>0</v>
      </c>
      <c r="E24" s="17" t="n">
        <v>0</v>
      </c>
      <c r="F24" s="17" t="n">
        <v>0</v>
      </c>
      <c r="G24" s="17" t="n">
        <v>0</v>
      </c>
      <c r="H24" s="17" t="n">
        <v>0</v>
      </c>
      <c r="I24" s="17" t="n">
        <v>0</v>
      </c>
      <c r="J24" s="17" t="n">
        <v>0</v>
      </c>
      <c r="K24" s="17" t="n">
        <v>0</v>
      </c>
      <c r="L24" s="17" t="n">
        <v>0</v>
      </c>
      <c r="M24" s="17" t="n">
        <v>0</v>
      </c>
      <c r="N24" s="10" t="inlineStr">
        <is>
          <t># stores</t>
        </is>
      </c>
    </row>
    <row r="25">
      <c r="A25" s="10" t="inlineStr">
        <is>
          <t>Shock</t>
        </is>
      </c>
      <c r="B25" s="7" t="inlineStr">
        <is>
          <t>Shock: Same-store sales growth (applied to merchandise sales per average store)</t>
        </is>
      </c>
      <c r="D25" s="18" t="n">
        <v>0</v>
      </c>
      <c r="E25" s="18" t="n">
        <v>0</v>
      </c>
      <c r="F25" s="18" t="n">
        <v>0</v>
      </c>
      <c r="G25" s="18" t="n">
        <v>0</v>
      </c>
      <c r="H25" s="18" t="n">
        <v>0</v>
      </c>
      <c r="I25" s="18" t="n">
        <v>0</v>
      </c>
      <c r="J25" s="18" t="n">
        <v>0</v>
      </c>
      <c r="K25" s="18" t="n">
        <v>0</v>
      </c>
      <c r="L25" s="18" t="n">
        <v>0</v>
      </c>
      <c r="M25" s="18" t="n">
        <v>0</v>
      </c>
      <c r="N25" s="10" t="inlineStr">
        <is>
          <t>% p.a.</t>
        </is>
      </c>
    </row>
    <row r="26">
      <c r="A26" s="10" t="inlineStr">
        <is>
          <t>Shock</t>
        </is>
      </c>
      <c r="B26" s="7" t="inlineStr">
        <is>
          <t>Shock: E-commerce merchandise sales growth</t>
        </is>
      </c>
      <c r="D26" s="18" t="n">
        <v>0</v>
      </c>
      <c r="E26" s="18" t="n">
        <v>0</v>
      </c>
      <c r="F26" s="18" t="n">
        <v>0</v>
      </c>
      <c r="G26" s="18" t="n">
        <v>0</v>
      </c>
      <c r="H26" s="18" t="n">
        <v>0</v>
      </c>
      <c r="I26" s="18" t="n">
        <v>0</v>
      </c>
      <c r="J26" s="18" t="n">
        <v>0</v>
      </c>
      <c r="K26" s="18" t="n">
        <v>0</v>
      </c>
      <c r="L26" s="18" t="n">
        <v>0</v>
      </c>
      <c r="M26" s="18" t="n">
        <v>0</v>
      </c>
      <c r="N26" s="10" t="inlineStr">
        <is>
          <t>% p.a.</t>
        </is>
      </c>
    </row>
    <row r="27">
      <c r="A27" s="10" t="inlineStr">
        <is>
          <t>Shock</t>
        </is>
      </c>
      <c r="B27" s="7" t="inlineStr">
        <is>
          <t>Shock: Services attach rate (services revenue as % of merchandise sales)</t>
        </is>
      </c>
      <c r="D27" s="18" t="n">
        <v>0</v>
      </c>
      <c r="E27" s="18" t="n">
        <v>0</v>
      </c>
      <c r="F27" s="18" t="n">
        <v>0</v>
      </c>
      <c r="G27" s="18" t="n">
        <v>0</v>
      </c>
      <c r="H27" s="18" t="n">
        <v>0</v>
      </c>
      <c r="I27" s="18" t="n">
        <v>0</v>
      </c>
      <c r="J27" s="18" t="n">
        <v>0</v>
      </c>
      <c r="K27" s="18" t="n">
        <v>0</v>
      </c>
      <c r="L27" s="18" t="n">
        <v>0</v>
      </c>
      <c r="M27" s="18" t="n">
        <v>0</v>
      </c>
      <c r="N27" s="10" t="inlineStr">
        <is>
          <t>% of merch.</t>
        </is>
      </c>
    </row>
    <row r="28">
      <c r="A28" s="10" t="inlineStr">
        <is>
          <t>Shock</t>
        </is>
      </c>
      <c r="B28" s="7" t="inlineStr">
        <is>
          <t>Shock: Other (non-retail / diamond sourcing) revenue growth</t>
        </is>
      </c>
      <c r="D28" s="18" t="n">
        <v>0</v>
      </c>
      <c r="E28" s="18" t="n">
        <v>0</v>
      </c>
      <c r="F28" s="18" t="n">
        <v>0</v>
      </c>
      <c r="G28" s="18" t="n">
        <v>0</v>
      </c>
      <c r="H28" s="18" t="n">
        <v>0</v>
      </c>
      <c r="I28" s="18" t="n">
        <v>0</v>
      </c>
      <c r="J28" s="18" t="n">
        <v>0</v>
      </c>
      <c r="K28" s="18" t="n">
        <v>0</v>
      </c>
      <c r="L28" s="18" t="n">
        <v>0</v>
      </c>
      <c r="M28" s="18" t="n">
        <v>0</v>
      </c>
      <c r="N28" s="10" t="inlineStr">
        <is>
          <t>% p.a.</t>
        </is>
      </c>
    </row>
    <row r="29">
      <c r="A29" s="10" t="inlineStr">
        <is>
          <t>Shock</t>
        </is>
      </c>
      <c r="B29" s="7" t="inlineStr">
        <is>
          <t>Shock: Cost of sales (incl. store occupancy) as % of total sales</t>
        </is>
      </c>
      <c r="D29" s="18" t="n">
        <v>0</v>
      </c>
      <c r="E29" s="18" t="n">
        <v>0</v>
      </c>
      <c r="F29" s="18" t="n">
        <v>0</v>
      </c>
      <c r="G29" s="18" t="n">
        <v>0</v>
      </c>
      <c r="H29" s="18" t="n">
        <v>0</v>
      </c>
      <c r="I29" s="18" t="n">
        <v>0</v>
      </c>
      <c r="J29" s="18" t="n">
        <v>0</v>
      </c>
      <c r="K29" s="18" t="n">
        <v>0</v>
      </c>
      <c r="L29" s="18" t="n">
        <v>0</v>
      </c>
      <c r="M29" s="18" t="n">
        <v>0</v>
      </c>
      <c r="N29" s="10" t="inlineStr">
        <is>
          <t>% of sales</t>
        </is>
      </c>
    </row>
    <row r="30">
      <c r="A30" s="10" t="inlineStr">
        <is>
          <t>Shock</t>
        </is>
      </c>
      <c r="B30" s="7" t="inlineStr">
        <is>
          <t>Shock: Variable SG&amp;A (store payroll, advertising, credit) as % of total sales</t>
        </is>
      </c>
      <c r="D30" s="18" t="n">
        <v>0</v>
      </c>
      <c r="E30" s="18" t="n">
        <v>0</v>
      </c>
      <c r="F30" s="18" t="n">
        <v>0</v>
      </c>
      <c r="G30" s="18" t="n">
        <v>0</v>
      </c>
      <c r="H30" s="18" t="n">
        <v>0</v>
      </c>
      <c r="I30" s="18" t="n">
        <v>0</v>
      </c>
      <c r="J30" s="18" t="n">
        <v>0</v>
      </c>
      <c r="K30" s="18" t="n">
        <v>0</v>
      </c>
      <c r="L30" s="18" t="n">
        <v>0</v>
      </c>
      <c r="M30" s="18" t="n">
        <v>0</v>
      </c>
      <c r="N30" s="10" t="inlineStr">
        <is>
          <t>% of sales</t>
        </is>
      </c>
    </row>
    <row r="31">
      <c r="A31" s="10" t="inlineStr">
        <is>
          <t>Shock</t>
        </is>
      </c>
      <c r="B31" s="7" t="inlineStr">
        <is>
          <t>Shock: Fixed SG&amp;A inflation (corporate, support, fixed store overhead)</t>
        </is>
      </c>
      <c r="D31" s="18" t="n">
        <v>0</v>
      </c>
      <c r="E31" s="18" t="n">
        <v>0</v>
      </c>
      <c r="F31" s="18" t="n">
        <v>0</v>
      </c>
      <c r="G31" s="18" t="n">
        <v>0</v>
      </c>
      <c r="H31" s="18" t="n">
        <v>0</v>
      </c>
      <c r="I31" s="18" t="n">
        <v>0</v>
      </c>
      <c r="J31" s="18" t="n">
        <v>0</v>
      </c>
      <c r="K31" s="18" t="n">
        <v>0</v>
      </c>
      <c r="L31" s="18" t="n">
        <v>0</v>
      </c>
      <c r="M31" s="18" t="n">
        <v>0</v>
      </c>
      <c r="N31" s="10" t="inlineStr">
        <is>
          <t>% p.a.</t>
        </is>
      </c>
    </row>
    <row r="32">
      <c r="A32" s="10" t="inlineStr">
        <is>
          <t>Shock</t>
        </is>
      </c>
      <c r="B32" s="7" t="inlineStr">
        <is>
          <t>Shock: Cost-savings initiatives (incremental run-rate cut to fixed SG&amp;A)</t>
        </is>
      </c>
      <c r="D32" s="20" t="n">
        <v>0</v>
      </c>
      <c r="E32" s="20" t="n">
        <v>0</v>
      </c>
      <c r="F32" s="20" t="n">
        <v>0</v>
      </c>
      <c r="G32" s="20" t="n">
        <v>0</v>
      </c>
      <c r="H32" s="20" t="n">
        <v>0</v>
      </c>
      <c r="I32" s="20" t="n">
        <v>0</v>
      </c>
      <c r="J32" s="20" t="n">
        <v>0</v>
      </c>
      <c r="K32" s="20" t="n">
        <v>0</v>
      </c>
      <c r="L32" s="20" t="n">
        <v>0</v>
      </c>
      <c r="M32" s="20" t="n">
        <v>0</v>
      </c>
      <c r="N32" s="10" t="inlineStr">
        <is>
          <t>$M</t>
        </is>
      </c>
    </row>
    <row r="33">
      <c r="A33" s="10" t="inlineStr">
        <is>
          <t>Shock</t>
        </is>
      </c>
      <c r="B33" s="7" t="inlineStr">
        <is>
          <t>Shock: Other operating income / (expense), one-time items (+ = income)</t>
        </is>
      </c>
      <c r="D33" s="20" t="n">
        <v>0</v>
      </c>
      <c r="E33" s="20" t="n">
        <v>0</v>
      </c>
      <c r="F33" s="20" t="n">
        <v>0</v>
      </c>
      <c r="G33" s="20" t="n">
        <v>0</v>
      </c>
      <c r="H33" s="20" t="n">
        <v>0</v>
      </c>
      <c r="I33" s="20" t="n">
        <v>0</v>
      </c>
      <c r="J33" s="20" t="n">
        <v>0</v>
      </c>
      <c r="K33" s="20" t="n">
        <v>0</v>
      </c>
      <c r="L33" s="20" t="n">
        <v>0</v>
      </c>
      <c r="M33" s="20" t="n">
        <v>0</v>
      </c>
      <c r="N33" s="10" t="inlineStr">
        <is>
          <t>$M</t>
        </is>
      </c>
    </row>
    <row r="34">
      <c r="A34" s="10" t="inlineStr">
        <is>
          <t>Shock</t>
        </is>
      </c>
      <c r="B34" s="7" t="inlineStr">
        <is>
          <t>Shock: Net yield on invested assets (cash &amp; equivalents)</t>
        </is>
      </c>
      <c r="D34" s="18" t="n">
        <v>0</v>
      </c>
      <c r="E34" s="18" t="n">
        <v>0</v>
      </c>
      <c r="F34" s="18" t="n">
        <v>0</v>
      </c>
      <c r="G34" s="18" t="n">
        <v>0</v>
      </c>
      <c r="H34" s="18" t="n">
        <v>0</v>
      </c>
      <c r="I34" s="18" t="n">
        <v>0</v>
      </c>
      <c r="J34" s="18" t="n">
        <v>0</v>
      </c>
      <c r="K34" s="18" t="n">
        <v>0</v>
      </c>
      <c r="L34" s="18" t="n">
        <v>0</v>
      </c>
      <c r="M34" s="18" t="n">
        <v>0</v>
      </c>
      <c r="N34" s="10" t="inlineStr">
        <is>
          <t>% of prior-yr cash</t>
        </is>
      </c>
    </row>
    <row r="35">
      <c r="A35" s="10" t="inlineStr">
        <is>
          <t>Shock</t>
        </is>
      </c>
      <c r="B35" s="7" t="inlineStr">
        <is>
          <t>Shock: Interest rate on debt (ABL revolver; debt is zero in baseline)</t>
        </is>
      </c>
      <c r="D35" s="18" t="n">
        <v>0</v>
      </c>
      <c r="E35" s="18" t="n">
        <v>0</v>
      </c>
      <c r="F35" s="18" t="n">
        <v>0</v>
      </c>
      <c r="G35" s="18" t="n">
        <v>0</v>
      </c>
      <c r="H35" s="18" t="n">
        <v>0</v>
      </c>
      <c r="I35" s="18" t="n">
        <v>0</v>
      </c>
      <c r="J35" s="18" t="n">
        <v>0</v>
      </c>
      <c r="K35" s="18" t="n">
        <v>0</v>
      </c>
      <c r="L35" s="18" t="n">
        <v>0</v>
      </c>
      <c r="M35" s="18" t="n">
        <v>0</v>
      </c>
      <c r="N35" s="10" t="inlineStr">
        <is>
          <t>% of prior-yr debt</t>
        </is>
      </c>
    </row>
    <row r="36">
      <c r="A36" s="10" t="inlineStr">
        <is>
          <t>Shock</t>
        </is>
      </c>
      <c r="B36" s="7" t="inlineStr">
        <is>
          <t>Shock: Effective income tax rate</t>
        </is>
      </c>
      <c r="D36" s="18" t="n">
        <v>0</v>
      </c>
      <c r="E36" s="18" t="n">
        <v>0</v>
      </c>
      <c r="F36" s="18" t="n">
        <v>0</v>
      </c>
      <c r="G36" s="18" t="n">
        <v>0</v>
      </c>
      <c r="H36" s="18" t="n">
        <v>0</v>
      </c>
      <c r="I36" s="18" t="n">
        <v>0</v>
      </c>
      <c r="J36" s="18" t="n">
        <v>0</v>
      </c>
      <c r="K36" s="18" t="n">
        <v>0</v>
      </c>
      <c r="L36" s="18" t="n">
        <v>0</v>
      </c>
      <c r="M36" s="18" t="n">
        <v>0</v>
      </c>
      <c r="N36" s="10" t="inlineStr">
        <is>
          <t>% of pre-tax</t>
        </is>
      </c>
    </row>
    <row r="37">
      <c r="A37" s="10" t="inlineStr">
        <is>
          <t>Shock</t>
        </is>
      </c>
      <c r="B37" s="7" t="inlineStr">
        <is>
          <t>Shock: Discount rate (cost of equity, CAPM) - single rate for the segment</t>
        </is>
      </c>
      <c r="D37" s="18" t="n">
        <v>0</v>
      </c>
      <c r="N37" s="10" t="inlineStr">
        <is>
          <t>% p.a.</t>
        </is>
      </c>
    </row>
    <row r="39">
      <c r="A39" s="12" t="inlineStr">
        <is>
          <t>ASSUMPTIONS FOR SCENARIO RUN  (every cell = baseline + shock; the projection reads ONLY this block)</t>
        </is>
      </c>
      <c r="B39" s="13" t="n"/>
      <c r="C39" s="13" t="n"/>
      <c r="D39" s="13" t="n"/>
      <c r="E39" s="13" t="n"/>
      <c r="F39" s="13" t="n"/>
      <c r="G39" s="13" t="n"/>
      <c r="H39" s="13" t="n"/>
      <c r="I39" s="13" t="n"/>
      <c r="J39" s="13" t="n"/>
      <c r="K39" s="13" t="n"/>
      <c r="L39" s="13" t="n"/>
      <c r="M39" s="13" t="n"/>
      <c r="N39" s="13" t="n"/>
      <c r="O39" s="13" t="n"/>
    </row>
    <row r="40">
      <c r="A40" s="10" t="inlineStr">
        <is>
          <t>Scenario</t>
        </is>
      </c>
      <c r="B40" s="7" t="inlineStr">
        <is>
          <t>Scenario: Gross store openings (number of stores)</t>
        </is>
      </c>
      <c r="D40" s="16">
        <f>D6+D23</f>
        <v/>
      </c>
      <c r="E40" s="16">
        <f>E6+E23</f>
        <v/>
      </c>
      <c r="F40" s="16">
        <f>F6+F23</f>
        <v/>
      </c>
      <c r="G40" s="16">
        <f>G6+G23</f>
        <v/>
      </c>
      <c r="H40" s="16">
        <f>H6+H23</f>
        <v/>
      </c>
      <c r="I40" s="16">
        <f>I6+I23</f>
        <v/>
      </c>
      <c r="J40" s="16">
        <f>J6+J23</f>
        <v/>
      </c>
      <c r="K40" s="16">
        <f>K6+K23</f>
        <v/>
      </c>
      <c r="L40" s="16">
        <f>L6+L23</f>
        <v/>
      </c>
      <c r="M40" s="16">
        <f>M6+M23</f>
        <v/>
      </c>
      <c r="N40" s="10" t="inlineStr">
        <is>
          <t># stores</t>
        </is>
      </c>
    </row>
    <row r="41">
      <c r="A41" s="10" t="inlineStr">
        <is>
          <t>Scenario</t>
        </is>
      </c>
      <c r="B41" s="7" t="inlineStr">
        <is>
          <t>Scenario: Store closures (number of stores)</t>
        </is>
      </c>
      <c r="D41" s="16">
        <f>D7+D24</f>
        <v/>
      </c>
      <c r="E41" s="16">
        <f>E7+E24</f>
        <v/>
      </c>
      <c r="F41" s="16">
        <f>F7+F24</f>
        <v/>
      </c>
      <c r="G41" s="16">
        <f>G7+G24</f>
        <v/>
      </c>
      <c r="H41" s="16">
        <f>H7+H24</f>
        <v/>
      </c>
      <c r="I41" s="16">
        <f>I7+I24</f>
        <v/>
      </c>
      <c r="J41" s="16">
        <f>J7+J24</f>
        <v/>
      </c>
      <c r="K41" s="16">
        <f>K7+K24</f>
        <v/>
      </c>
      <c r="L41" s="16">
        <f>L7+L24</f>
        <v/>
      </c>
      <c r="M41" s="16">
        <f>M7+M24</f>
        <v/>
      </c>
      <c r="N41" s="10" t="inlineStr">
        <is>
          <t># stores</t>
        </is>
      </c>
    </row>
    <row r="42">
      <c r="A42" s="10" t="inlineStr">
        <is>
          <t>Scenario</t>
        </is>
      </c>
      <c r="B42" s="7" t="inlineStr">
        <is>
          <t>Scenario: Same-store sales growth (applied to merchandise sales per average store)</t>
        </is>
      </c>
      <c r="D42" s="19">
        <f>D8+D25</f>
        <v/>
      </c>
      <c r="E42" s="19">
        <f>E8+E25</f>
        <v/>
      </c>
      <c r="F42" s="19">
        <f>F8+F25</f>
        <v/>
      </c>
      <c r="G42" s="19">
        <f>G8+G25</f>
        <v/>
      </c>
      <c r="H42" s="19">
        <f>H8+H25</f>
        <v/>
      </c>
      <c r="I42" s="19">
        <f>I8+I25</f>
        <v/>
      </c>
      <c r="J42" s="19">
        <f>J8+J25</f>
        <v/>
      </c>
      <c r="K42" s="19">
        <f>K8+K25</f>
        <v/>
      </c>
      <c r="L42" s="19">
        <f>L8+L25</f>
        <v/>
      </c>
      <c r="M42" s="19">
        <f>M8+M25</f>
        <v/>
      </c>
      <c r="N42" s="10" t="inlineStr">
        <is>
          <t>% p.a.</t>
        </is>
      </c>
    </row>
    <row r="43">
      <c r="A43" s="10" t="inlineStr">
        <is>
          <t>Scenario</t>
        </is>
      </c>
      <c r="B43" s="7" t="inlineStr">
        <is>
          <t>Scenario: E-commerce merchandise sales growth</t>
        </is>
      </c>
      <c r="D43" s="19">
        <f>D9+D26</f>
        <v/>
      </c>
      <c r="E43" s="19">
        <f>E9+E26</f>
        <v/>
      </c>
      <c r="F43" s="19">
        <f>F9+F26</f>
        <v/>
      </c>
      <c r="G43" s="19">
        <f>G9+G26</f>
        <v/>
      </c>
      <c r="H43" s="19">
        <f>H9+H26</f>
        <v/>
      </c>
      <c r="I43" s="19">
        <f>I9+I26</f>
        <v/>
      </c>
      <c r="J43" s="19">
        <f>J9+J26</f>
        <v/>
      </c>
      <c r="K43" s="19">
        <f>K9+K26</f>
        <v/>
      </c>
      <c r="L43" s="19">
        <f>L9+L26</f>
        <v/>
      </c>
      <c r="M43" s="19">
        <f>M9+M26</f>
        <v/>
      </c>
      <c r="N43" s="10" t="inlineStr">
        <is>
          <t>% p.a.</t>
        </is>
      </c>
    </row>
    <row r="44">
      <c r="A44" s="10" t="inlineStr">
        <is>
          <t>Scenario</t>
        </is>
      </c>
      <c r="B44" s="7" t="inlineStr">
        <is>
          <t>Scenario: Services attach rate (services revenue as % of merchandise sales)</t>
        </is>
      </c>
      <c r="D44" s="19">
        <f>D10+D27</f>
        <v/>
      </c>
      <c r="E44" s="19">
        <f>E10+E27</f>
        <v/>
      </c>
      <c r="F44" s="19">
        <f>F10+F27</f>
        <v/>
      </c>
      <c r="G44" s="19">
        <f>G10+G27</f>
        <v/>
      </c>
      <c r="H44" s="19">
        <f>H10+H27</f>
        <v/>
      </c>
      <c r="I44" s="19">
        <f>I10+I27</f>
        <v/>
      </c>
      <c r="J44" s="19">
        <f>J10+J27</f>
        <v/>
      </c>
      <c r="K44" s="19">
        <f>K10+K27</f>
        <v/>
      </c>
      <c r="L44" s="19">
        <f>L10+L27</f>
        <v/>
      </c>
      <c r="M44" s="19">
        <f>M10+M27</f>
        <v/>
      </c>
      <c r="N44" s="10" t="inlineStr">
        <is>
          <t>% of merch.</t>
        </is>
      </c>
    </row>
    <row r="45">
      <c r="A45" s="10" t="inlineStr">
        <is>
          <t>Scenario</t>
        </is>
      </c>
      <c r="B45" s="7" t="inlineStr">
        <is>
          <t>Scenario: Other (non-retail / diamond sourcing) revenue growth</t>
        </is>
      </c>
      <c r="D45" s="19">
        <f>D11+D28</f>
        <v/>
      </c>
      <c r="E45" s="19">
        <f>E11+E28</f>
        <v/>
      </c>
      <c r="F45" s="19">
        <f>F11+F28</f>
        <v/>
      </c>
      <c r="G45" s="19">
        <f>G11+G28</f>
        <v/>
      </c>
      <c r="H45" s="19">
        <f>H11+H28</f>
        <v/>
      </c>
      <c r="I45" s="19">
        <f>I11+I28</f>
        <v/>
      </c>
      <c r="J45" s="19">
        <f>J11+J28</f>
        <v/>
      </c>
      <c r="K45" s="19">
        <f>K11+K28</f>
        <v/>
      </c>
      <c r="L45" s="19">
        <f>L11+L28</f>
        <v/>
      </c>
      <c r="M45" s="19">
        <f>M11+M28</f>
        <v/>
      </c>
      <c r="N45" s="10" t="inlineStr">
        <is>
          <t>% p.a.</t>
        </is>
      </c>
    </row>
    <row r="46">
      <c r="A46" s="10" t="inlineStr">
        <is>
          <t>Scenario</t>
        </is>
      </c>
      <c r="B46" s="7" t="inlineStr">
        <is>
          <t>Scenario: Cost of sales (incl. store occupancy) as % of total sales</t>
        </is>
      </c>
      <c r="D46" s="19">
        <f>D12+D29</f>
        <v/>
      </c>
      <c r="E46" s="19">
        <f>E12+E29</f>
        <v/>
      </c>
      <c r="F46" s="19">
        <f>F12+F29</f>
        <v/>
      </c>
      <c r="G46" s="19">
        <f>G12+G29</f>
        <v/>
      </c>
      <c r="H46" s="19">
        <f>H12+H29</f>
        <v/>
      </c>
      <c r="I46" s="19">
        <f>I12+I29</f>
        <v/>
      </c>
      <c r="J46" s="19">
        <f>J12+J29</f>
        <v/>
      </c>
      <c r="K46" s="19">
        <f>K12+K29</f>
        <v/>
      </c>
      <c r="L46" s="19">
        <f>L12+L29</f>
        <v/>
      </c>
      <c r="M46" s="19">
        <f>M12+M29</f>
        <v/>
      </c>
      <c r="N46" s="10" t="inlineStr">
        <is>
          <t>% of sales</t>
        </is>
      </c>
    </row>
    <row r="47">
      <c r="A47" s="10" t="inlineStr">
        <is>
          <t>Scenario</t>
        </is>
      </c>
      <c r="B47" s="7" t="inlineStr">
        <is>
          <t>Scenario: Variable SG&amp;A (store payroll, advertising, credit) as % of total sales</t>
        </is>
      </c>
      <c r="D47" s="19">
        <f>D13+D30</f>
        <v/>
      </c>
      <c r="E47" s="19">
        <f>E13+E30</f>
        <v/>
      </c>
      <c r="F47" s="19">
        <f>F13+F30</f>
        <v/>
      </c>
      <c r="G47" s="19">
        <f>G13+G30</f>
        <v/>
      </c>
      <c r="H47" s="19">
        <f>H13+H30</f>
        <v/>
      </c>
      <c r="I47" s="19">
        <f>I13+I30</f>
        <v/>
      </c>
      <c r="J47" s="19">
        <f>J13+J30</f>
        <v/>
      </c>
      <c r="K47" s="19">
        <f>K13+K30</f>
        <v/>
      </c>
      <c r="L47" s="19">
        <f>L13+L30</f>
        <v/>
      </c>
      <c r="M47" s="19">
        <f>M13+M30</f>
        <v/>
      </c>
      <c r="N47" s="10" t="inlineStr">
        <is>
          <t>% of sales</t>
        </is>
      </c>
    </row>
    <row r="48">
      <c r="A48" s="10" t="inlineStr">
        <is>
          <t>Scenario</t>
        </is>
      </c>
      <c r="B48" s="7" t="inlineStr">
        <is>
          <t>Scenario: Fixed SG&amp;A inflation (corporate, support, fixed store overhead)</t>
        </is>
      </c>
      <c r="D48" s="19">
        <f>D14+D31</f>
        <v/>
      </c>
      <c r="E48" s="19">
        <f>E14+E31</f>
        <v/>
      </c>
      <c r="F48" s="19">
        <f>F14+F31</f>
        <v/>
      </c>
      <c r="G48" s="19">
        <f>G14+G31</f>
        <v/>
      </c>
      <c r="H48" s="19">
        <f>H14+H31</f>
        <v/>
      </c>
      <c r="I48" s="19">
        <f>I14+I31</f>
        <v/>
      </c>
      <c r="J48" s="19">
        <f>J14+J31</f>
        <v/>
      </c>
      <c r="K48" s="19">
        <f>K14+K31</f>
        <v/>
      </c>
      <c r="L48" s="19">
        <f>L14+L31</f>
        <v/>
      </c>
      <c r="M48" s="19">
        <f>M14+M31</f>
        <v/>
      </c>
      <c r="N48" s="10" t="inlineStr">
        <is>
          <t>% p.a.</t>
        </is>
      </c>
    </row>
    <row r="49">
      <c r="A49" s="10" t="inlineStr">
        <is>
          <t>Scenario</t>
        </is>
      </c>
      <c r="B49" s="7" t="inlineStr">
        <is>
          <t>Scenario: Cost-savings initiatives (incremental run-rate cut to fixed SG&amp;A)</t>
        </is>
      </c>
      <c r="D49" s="21">
        <f>D15+D32</f>
        <v/>
      </c>
      <c r="E49" s="21">
        <f>E15+E32</f>
        <v/>
      </c>
      <c r="F49" s="21">
        <f>F15+F32</f>
        <v/>
      </c>
      <c r="G49" s="21">
        <f>G15+G32</f>
        <v/>
      </c>
      <c r="H49" s="21">
        <f>H15+H32</f>
        <v/>
      </c>
      <c r="I49" s="21">
        <f>I15+I32</f>
        <v/>
      </c>
      <c r="J49" s="21">
        <f>J15+J32</f>
        <v/>
      </c>
      <c r="K49" s="21">
        <f>K15+K32</f>
        <v/>
      </c>
      <c r="L49" s="21">
        <f>L15+L32</f>
        <v/>
      </c>
      <c r="M49" s="21">
        <f>M15+M32</f>
        <v/>
      </c>
      <c r="N49" s="10" t="inlineStr">
        <is>
          <t>$M</t>
        </is>
      </c>
    </row>
    <row r="50">
      <c r="A50" s="10" t="inlineStr">
        <is>
          <t>Scenario</t>
        </is>
      </c>
      <c r="B50" s="7" t="inlineStr">
        <is>
          <t>Scenario: Other operating income / (expense), one-time items (+ = income)</t>
        </is>
      </c>
      <c r="D50" s="21">
        <f>D16+D33</f>
        <v/>
      </c>
      <c r="E50" s="21">
        <f>E16+E33</f>
        <v/>
      </c>
      <c r="F50" s="21">
        <f>F16+F33</f>
        <v/>
      </c>
      <c r="G50" s="21">
        <f>G16+G33</f>
        <v/>
      </c>
      <c r="H50" s="21">
        <f>H16+H33</f>
        <v/>
      </c>
      <c r="I50" s="21">
        <f>I16+I33</f>
        <v/>
      </c>
      <c r="J50" s="21">
        <f>J16+J33</f>
        <v/>
      </c>
      <c r="K50" s="21">
        <f>K16+K33</f>
        <v/>
      </c>
      <c r="L50" s="21">
        <f>L16+L33</f>
        <v/>
      </c>
      <c r="M50" s="21">
        <f>M16+M33</f>
        <v/>
      </c>
      <c r="N50" s="10" t="inlineStr">
        <is>
          <t>$M</t>
        </is>
      </c>
    </row>
    <row r="51">
      <c r="A51" s="10" t="inlineStr">
        <is>
          <t>Scenario</t>
        </is>
      </c>
      <c r="B51" s="7" t="inlineStr">
        <is>
          <t>Scenario: Net yield on invested assets (cash &amp; equivalents)</t>
        </is>
      </c>
      <c r="D51" s="19">
        <f>D17+D34</f>
        <v/>
      </c>
      <c r="E51" s="19">
        <f>E17+E34</f>
        <v/>
      </c>
      <c r="F51" s="19">
        <f>F17+F34</f>
        <v/>
      </c>
      <c r="G51" s="19">
        <f>G17+G34</f>
        <v/>
      </c>
      <c r="H51" s="19">
        <f>H17+H34</f>
        <v/>
      </c>
      <c r="I51" s="19">
        <f>I17+I34</f>
        <v/>
      </c>
      <c r="J51" s="19">
        <f>J17+J34</f>
        <v/>
      </c>
      <c r="K51" s="19">
        <f>K17+K34</f>
        <v/>
      </c>
      <c r="L51" s="19">
        <f>L17+L34</f>
        <v/>
      </c>
      <c r="M51" s="19">
        <f>M17+M34</f>
        <v/>
      </c>
      <c r="N51" s="10" t="inlineStr">
        <is>
          <t>% of prior-yr cash</t>
        </is>
      </c>
    </row>
    <row r="52">
      <c r="A52" s="10" t="inlineStr">
        <is>
          <t>Scenario</t>
        </is>
      </c>
      <c r="B52" s="7" t="inlineStr">
        <is>
          <t>Scenario: Interest rate on debt (ABL revolver; debt is zero in baseline)</t>
        </is>
      </c>
      <c r="D52" s="19">
        <f>D18+D35</f>
        <v/>
      </c>
      <c r="E52" s="19">
        <f>E18+E35</f>
        <v/>
      </c>
      <c r="F52" s="19">
        <f>F18+F35</f>
        <v/>
      </c>
      <c r="G52" s="19">
        <f>G18+G35</f>
        <v/>
      </c>
      <c r="H52" s="19">
        <f>H18+H35</f>
        <v/>
      </c>
      <c r="I52" s="19">
        <f>I18+I35</f>
        <v/>
      </c>
      <c r="J52" s="19">
        <f>J18+J35</f>
        <v/>
      </c>
      <c r="K52" s="19">
        <f>K18+K35</f>
        <v/>
      </c>
      <c r="L52" s="19">
        <f>L18+L35</f>
        <v/>
      </c>
      <c r="M52" s="19">
        <f>M18+M35</f>
        <v/>
      </c>
      <c r="N52" s="10" t="inlineStr">
        <is>
          <t>% of prior-yr debt</t>
        </is>
      </c>
    </row>
    <row r="53">
      <c r="A53" s="10" t="inlineStr">
        <is>
          <t>Scenario</t>
        </is>
      </c>
      <c r="B53" s="7" t="inlineStr">
        <is>
          <t>Scenario: Effective income tax rate</t>
        </is>
      </c>
      <c r="D53" s="19">
        <f>D19+D36</f>
        <v/>
      </c>
      <c r="E53" s="19">
        <f>E19+E36</f>
        <v/>
      </c>
      <c r="F53" s="19">
        <f>F19+F36</f>
        <v/>
      </c>
      <c r="G53" s="19">
        <f>G19+G36</f>
        <v/>
      </c>
      <c r="H53" s="19">
        <f>H19+H36</f>
        <v/>
      </c>
      <c r="I53" s="19">
        <f>I19+I36</f>
        <v/>
      </c>
      <c r="J53" s="19">
        <f>J19+J36</f>
        <v/>
      </c>
      <c r="K53" s="19">
        <f>K19+K36</f>
        <v/>
      </c>
      <c r="L53" s="19">
        <f>L19+L36</f>
        <v/>
      </c>
      <c r="M53" s="19">
        <f>M19+M36</f>
        <v/>
      </c>
      <c r="N53" s="10" t="inlineStr">
        <is>
          <t>% of pre-tax</t>
        </is>
      </c>
    </row>
    <row r="54">
      <c r="A54" s="10" t="inlineStr">
        <is>
          <t>Scenario</t>
        </is>
      </c>
      <c r="B54" s="7" t="inlineStr">
        <is>
          <t>Scenario: Discount rate (cost of equity, CAPM) - single rate for the segment</t>
        </is>
      </c>
      <c r="D54" s="19">
        <f>D20+D37</f>
        <v/>
      </c>
      <c r="N54" s="10" t="inlineStr">
        <is>
          <t>% p.a.</t>
        </is>
      </c>
    </row>
    <row r="56">
      <c r="A56" s="12" t="inlineStr">
        <is>
          <t>PROJECTION  ($ millions unless stated; all formulas read the SCENARIO block, never the baseline block directly)</t>
        </is>
      </c>
      <c r="B56" s="13" t="n"/>
      <c r="C56" s="13" t="n"/>
      <c r="D56" s="13" t="n"/>
      <c r="E56" s="13" t="n"/>
      <c r="F56" s="13" t="n"/>
      <c r="G56" s="13" t="n"/>
      <c r="H56" s="13" t="n"/>
      <c r="I56" s="13" t="n"/>
      <c r="J56" s="13" t="n"/>
      <c r="K56" s="13" t="n"/>
      <c r="L56" s="13" t="n"/>
      <c r="M56" s="13" t="n"/>
      <c r="N56" s="13" t="n"/>
      <c r="O56" s="13" t="n"/>
    </row>
    <row r="57">
      <c r="A57" s="22" t="inlineStr">
        <is>
          <t>Drivers</t>
        </is>
      </c>
      <c r="B57" s="23" t="inlineStr">
        <is>
          <t>OPERATING DRIVERS</t>
        </is>
      </c>
      <c r="C57" s="24" t="n"/>
      <c r="D57" s="24" t="n"/>
      <c r="E57" s="24" t="n"/>
      <c r="F57" s="24" t="n"/>
      <c r="G57" s="24" t="n"/>
      <c r="H57" s="24" t="n"/>
      <c r="I57" s="24" t="n"/>
      <c r="J57" s="24" t="n"/>
      <c r="K57" s="24" t="n"/>
      <c r="L57" s="24" t="n"/>
      <c r="M57" s="24" t="n"/>
      <c r="N57" s="24" t="n"/>
      <c r="O57" s="24" t="n"/>
    </row>
    <row r="58">
      <c r="B58" s="7" t="inlineStr">
        <is>
          <t>Stores - beginning of year</t>
        </is>
      </c>
      <c r="C58" s="17" t="n">
        <v>263</v>
      </c>
      <c r="D58" s="16">
        <f>C61</f>
        <v/>
      </c>
      <c r="E58" s="16">
        <f>D61</f>
        <v/>
      </c>
      <c r="F58" s="16">
        <f>E61</f>
        <v/>
      </c>
      <c r="G58" s="16">
        <f>F61</f>
        <v/>
      </c>
      <c r="H58" s="16">
        <f>G61</f>
        <v/>
      </c>
      <c r="I58" s="16">
        <f>H61</f>
        <v/>
      </c>
      <c r="J58" s="16">
        <f>I61</f>
        <v/>
      </c>
      <c r="K58" s="16">
        <f>J61</f>
        <v/>
      </c>
      <c r="L58" s="16">
        <f>K61</f>
        <v/>
      </c>
      <c r="M58" s="16">
        <f>L61</f>
        <v/>
      </c>
      <c r="N58" s="10" t="inlineStr">
        <is>
          <t># stores</t>
        </is>
      </c>
      <c r="O58" s="10" t="inlineStr">
        <is>
          <t>Last Yr = stores at Feb 1, 2025 (10-K FY2026).</t>
        </is>
      </c>
    </row>
    <row r="59">
      <c r="B59" s="7" t="inlineStr">
        <is>
          <t>Gross store openings</t>
        </is>
      </c>
      <c r="C59" s="17" t="n">
        <v>0</v>
      </c>
      <c r="D59" s="16">
        <f>D40</f>
        <v/>
      </c>
      <c r="E59" s="16">
        <f>E40</f>
        <v/>
      </c>
      <c r="F59" s="16">
        <f>F40</f>
        <v/>
      </c>
      <c r="G59" s="16">
        <f>G40</f>
        <v/>
      </c>
      <c r="H59" s="16">
        <f>H40</f>
        <v/>
      </c>
      <c r="I59" s="16">
        <f>I40</f>
        <v/>
      </c>
      <c r="J59" s="16">
        <f>J40</f>
        <v/>
      </c>
      <c r="K59" s="16">
        <f>K40</f>
        <v/>
      </c>
      <c r="L59" s="16">
        <f>L40</f>
        <v/>
      </c>
      <c r="M59" s="16">
        <f>M40</f>
        <v/>
      </c>
      <c r="N59" s="10" t="inlineStr">
        <is>
          <t># stores</t>
        </is>
      </c>
      <c r="O59" s="10" t="inlineStr"/>
    </row>
    <row r="60">
      <c r="B60" s="7" t="inlineStr">
        <is>
          <t>Store closures</t>
        </is>
      </c>
      <c r="C60" s="17" t="n">
        <v>10</v>
      </c>
      <c r="D60" s="16">
        <f>D41</f>
        <v/>
      </c>
      <c r="E60" s="16">
        <f>E41</f>
        <v/>
      </c>
      <c r="F60" s="16">
        <f>F41</f>
        <v/>
      </c>
      <c r="G60" s="16">
        <f>G41</f>
        <v/>
      </c>
      <c r="H60" s="16">
        <f>H41</f>
        <v/>
      </c>
      <c r="I60" s="16">
        <f>I41</f>
        <v/>
      </c>
      <c r="J60" s="16">
        <f>J41</f>
        <v/>
      </c>
      <c r="K60" s="16">
        <f>K41</f>
        <v/>
      </c>
      <c r="L60" s="16">
        <f>L41</f>
        <v/>
      </c>
      <c r="M60" s="16">
        <f>M41</f>
        <v/>
      </c>
      <c r="N60" s="10" t="inlineStr">
        <is>
          <t># stores</t>
        </is>
      </c>
      <c r="O60" s="10" t="inlineStr"/>
    </row>
    <row r="61">
      <c r="B61" s="7" t="inlineStr">
        <is>
          <t>Stores - end of year</t>
        </is>
      </c>
      <c r="C61" s="16">
        <f>C58+C59-C60</f>
        <v/>
      </c>
      <c r="D61" s="16">
        <f>D58+D59-D60</f>
        <v/>
      </c>
      <c r="E61" s="16">
        <f>E58+E59-E60</f>
        <v/>
      </c>
      <c r="F61" s="16">
        <f>F58+F59-F60</f>
        <v/>
      </c>
      <c r="G61" s="16">
        <f>G58+G59-G60</f>
        <v/>
      </c>
      <c r="H61" s="16">
        <f>H58+H59-H60</f>
        <v/>
      </c>
      <c r="I61" s="16">
        <f>I58+I59-I60</f>
        <v/>
      </c>
      <c r="J61" s="16">
        <f>J58+J59-J60</f>
        <v/>
      </c>
      <c r="K61" s="16">
        <f>K58+K59-K60</f>
        <v/>
      </c>
      <c r="L61" s="16">
        <f>L58+L59-L60</f>
        <v/>
      </c>
      <c r="M61" s="16">
        <f>M58+M59-M60</f>
        <v/>
      </c>
      <c r="N61" s="10" t="inlineStr">
        <is>
          <t># stores</t>
        </is>
      </c>
      <c r="O61" s="10" t="inlineStr"/>
    </row>
    <row r="62">
      <c r="B62" s="7" t="inlineStr">
        <is>
          <t>Average stores in operation</t>
        </is>
      </c>
      <c r="C62" s="21">
        <f>AVERAGE(C58,C61)</f>
        <v/>
      </c>
      <c r="D62" s="21">
        <f>AVERAGE(D58,D61)</f>
        <v/>
      </c>
      <c r="E62" s="21">
        <f>AVERAGE(E58,E61)</f>
        <v/>
      </c>
      <c r="F62" s="21">
        <f>AVERAGE(F58,F61)</f>
        <v/>
      </c>
      <c r="G62" s="21">
        <f>AVERAGE(G58,G61)</f>
        <v/>
      </c>
      <c r="H62" s="21">
        <f>AVERAGE(H58,H61)</f>
        <v/>
      </c>
      <c r="I62" s="21">
        <f>AVERAGE(I58,I61)</f>
        <v/>
      </c>
      <c r="J62" s="21">
        <f>AVERAGE(J58,J61)</f>
        <v/>
      </c>
      <c r="K62" s="21">
        <f>AVERAGE(K58,K61)</f>
        <v/>
      </c>
      <c r="L62" s="21">
        <f>AVERAGE(L58,L61)</f>
        <v/>
      </c>
      <c r="M62" s="21">
        <f>AVERAGE(M58,M61)</f>
        <v/>
      </c>
      <c r="N62" s="10" t="inlineStr">
        <is>
          <t># stores</t>
        </is>
      </c>
      <c r="O62" s="10" t="inlineStr"/>
    </row>
    <row r="63">
      <c r="B63" s="7" t="inlineStr">
        <is>
          <t>Store merchandise sales per average store</t>
        </is>
      </c>
      <c r="C63" s="25">
        <f>IF(C62=0,0,C66/C62)</f>
        <v/>
      </c>
      <c r="D63" s="25">
        <f>C63*(1+D42)</f>
        <v/>
      </c>
      <c r="E63" s="25">
        <f>D63*(1+E42)</f>
        <v/>
      </c>
      <c r="F63" s="25">
        <f>E63*(1+F42)</f>
        <v/>
      </c>
      <c r="G63" s="25">
        <f>F63*(1+G42)</f>
        <v/>
      </c>
      <c r="H63" s="25">
        <f>G63*(1+H42)</f>
        <v/>
      </c>
      <c r="I63" s="25">
        <f>H63*(1+I42)</f>
        <v/>
      </c>
      <c r="J63" s="25">
        <f>I63*(1+J42)</f>
        <v/>
      </c>
      <c r="K63" s="25">
        <f>J63*(1+K42)</f>
        <v/>
      </c>
      <c r="L63" s="25">
        <f>K63*(1+L42)</f>
        <v/>
      </c>
      <c r="M63" s="25">
        <f>L63*(1+M42)</f>
        <v/>
      </c>
      <c r="N63" s="10" t="inlineStr">
        <is>
          <t>$M / store</t>
        </is>
      </c>
      <c r="O63" s="10" t="inlineStr">
        <is>
          <t>Last Yr calibrated = store merchandise sales / average stores; grows at same-store-sales assumption.</t>
        </is>
      </c>
    </row>
    <row r="64"/>
    <row r="65">
      <c r="A65" s="22" t="inlineStr">
        <is>
          <t>Income stmt</t>
        </is>
      </c>
      <c r="B65" s="23" t="inlineStr">
        <is>
          <t>INCOME STATEMENT</t>
        </is>
      </c>
      <c r="C65" s="24" t="n"/>
      <c r="D65" s="24" t="n"/>
      <c r="E65" s="24" t="n"/>
      <c r="F65" s="24" t="n"/>
      <c r="G65" s="24" t="n"/>
      <c r="H65" s="24" t="n"/>
      <c r="I65" s="24" t="n"/>
      <c r="J65" s="24" t="n"/>
      <c r="K65" s="24" t="n"/>
      <c r="L65" s="24" t="n"/>
      <c r="M65" s="24" t="n"/>
      <c r="N65" s="24" t="n"/>
      <c r="O65" s="24" t="n"/>
    </row>
    <row r="66">
      <c r="B66" s="7" t="inlineStr">
        <is>
          <t>Store merchandise sales (average stores x sales per store)</t>
        </is>
      </c>
      <c r="C66" s="20" t="n">
        <v>307.8</v>
      </c>
      <c r="D66" s="21">
        <f>D62*D63</f>
        <v/>
      </c>
      <c r="E66" s="21">
        <f>E62*E63</f>
        <v/>
      </c>
      <c r="F66" s="21">
        <f>F62*F63</f>
        <v/>
      </c>
      <c r="G66" s="21">
        <f>G62*G63</f>
        <v/>
      </c>
      <c r="H66" s="21">
        <f>H62*H63</f>
        <v/>
      </c>
      <c r="I66" s="21">
        <f>I62*I63</f>
        <v/>
      </c>
      <c r="J66" s="21">
        <f>J62*J63</f>
        <v/>
      </c>
      <c r="K66" s="21">
        <f>K62*K63</f>
        <v/>
      </c>
      <c r="L66" s="21">
        <f>L62*L63</f>
        <v/>
      </c>
      <c r="M66" s="21">
        <f>M62*M63</f>
        <v/>
      </c>
      <c r="N66" s="10" t="inlineStr">
        <is>
          <t>$M</t>
        </is>
      </c>
      <c r="O66" s="10" t="inlineStr"/>
    </row>
    <row r="67">
      <c r="B67" s="7" t="inlineStr">
        <is>
          <t>E-commerce merchandise sales</t>
        </is>
      </c>
      <c r="C67" s="20" t="n">
        <v>61.6</v>
      </c>
      <c r="D67" s="21">
        <f>C67*(1+D43)</f>
        <v/>
      </c>
      <c r="E67" s="21">
        <f>D67*(1+E43)</f>
        <v/>
      </c>
      <c r="F67" s="21">
        <f>E67*(1+F43)</f>
        <v/>
      </c>
      <c r="G67" s="21">
        <f>F67*(1+G43)</f>
        <v/>
      </c>
      <c r="H67" s="21">
        <f>G67*(1+H43)</f>
        <v/>
      </c>
      <c r="I67" s="21">
        <f>H67*(1+I43)</f>
        <v/>
      </c>
      <c r="J67" s="21">
        <f>I67*(1+J43)</f>
        <v/>
      </c>
      <c r="K67" s="21">
        <f>J67*(1+K43)</f>
        <v/>
      </c>
      <c r="L67" s="21">
        <f>K67*(1+L43)</f>
        <v/>
      </c>
      <c r="M67" s="21">
        <f>L67*(1+M43)</f>
        <v/>
      </c>
      <c r="N67" s="10" t="inlineStr">
        <is>
          <t>$M</t>
        </is>
      </c>
      <c r="O67" s="10" t="inlineStr">
        <is>
          <t>Last Yr: NA 1,423.8 incl. James Allen + Blue Nile 481.5; company e-commerce 21.8% of sales.</t>
        </is>
      </c>
    </row>
    <row r="68">
      <c r="B68" s="7" t="inlineStr">
        <is>
          <t>Services revenue (extended service plans, repairs, custom design)</t>
        </is>
      </c>
      <c r="C68" s="20" t="n">
        <v>41</v>
      </c>
      <c r="D68" s="21">
        <f>(D66+D67)*D44</f>
        <v/>
      </c>
      <c r="E68" s="21">
        <f>(E66+E67)*E44</f>
        <v/>
      </c>
      <c r="F68" s="21">
        <f>(F66+F67)*F44</f>
        <v/>
      </c>
      <c r="G68" s="21">
        <f>(G66+G67)*G44</f>
        <v/>
      </c>
      <c r="H68" s="21">
        <f>(H66+H67)*H44</f>
        <v/>
      </c>
      <c r="I68" s="21">
        <f>(I66+I67)*I44</f>
        <v/>
      </c>
      <c r="J68" s="21">
        <f>(J66+J67)*J44</f>
        <v/>
      </c>
      <c r="K68" s="21">
        <f>(K66+K67)*K44</f>
        <v/>
      </c>
      <c r="L68" s="21">
        <f>(L66+L67)*L44</f>
        <v/>
      </c>
      <c r="M68" s="21">
        <f>(M66+M67)*M44</f>
        <v/>
      </c>
      <c r="N68" s="10" t="inlineStr">
        <is>
          <t>$M</t>
        </is>
      </c>
      <c r="O68" s="10" t="inlineStr">
        <is>
          <t>FY2026 services 803.5 consolidated (10-K); attach rate assumption x merchandise sales.</t>
        </is>
      </c>
    </row>
    <row r="69">
      <c r="B69" s="7" t="inlineStr">
        <is>
          <t>Other revenue (diamond sourcing / non-retail)</t>
        </is>
      </c>
      <c r="C69" s="20" t="n">
        <v>0</v>
      </c>
      <c r="D69" s="21">
        <f>C69*(1+D45)</f>
        <v/>
      </c>
      <c r="E69" s="21">
        <f>D69*(1+E45)</f>
        <v/>
      </c>
      <c r="F69" s="21">
        <f>E69*(1+F45)</f>
        <v/>
      </c>
      <c r="G69" s="21">
        <f>F69*(1+G45)</f>
        <v/>
      </c>
      <c r="H69" s="21">
        <f>G69*(1+H45)</f>
        <v/>
      </c>
      <c r="I69" s="21">
        <f>H69*(1+I45)</f>
        <v/>
      </c>
      <c r="J69" s="21">
        <f>I69*(1+J45)</f>
        <v/>
      </c>
      <c r="K69" s="21">
        <f>J69*(1+K45)</f>
        <v/>
      </c>
      <c r="L69" s="21">
        <f>K69*(1+L45)</f>
        <v/>
      </c>
      <c r="M69" s="21">
        <f>L69*(1+M45)</f>
        <v/>
      </c>
      <c r="N69" s="10" t="inlineStr">
        <is>
          <t>$M</t>
        </is>
      </c>
      <c r="O69" s="10" t="inlineStr">
        <is>
          <t>Diamond-sourcing sales to third parties (Other segment).</t>
        </is>
      </c>
    </row>
    <row r="70">
      <c r="B70" s="3" t="inlineStr">
        <is>
          <t>TOTAL SALES</t>
        </is>
      </c>
      <c r="C70" s="26">
        <f>SUM(C66:C69)</f>
        <v/>
      </c>
      <c r="D70" s="26">
        <f>SUM(D66:D69)</f>
        <v/>
      </c>
      <c r="E70" s="26">
        <f>SUM(E66:E69)</f>
        <v/>
      </c>
      <c r="F70" s="26">
        <f>SUM(F66:F69)</f>
        <v/>
      </c>
      <c r="G70" s="26">
        <f>SUM(G66:G69)</f>
        <v/>
      </c>
      <c r="H70" s="26">
        <f>SUM(H66:H69)</f>
        <v/>
      </c>
      <c r="I70" s="26">
        <f>SUM(I66:I69)</f>
        <v/>
      </c>
      <c r="J70" s="26">
        <f>SUM(J66:J69)</f>
        <v/>
      </c>
      <c r="K70" s="26">
        <f>SUM(K66:K69)</f>
        <v/>
      </c>
      <c r="L70" s="26">
        <f>SUM(L66:L69)</f>
        <v/>
      </c>
      <c r="M70" s="26">
        <f>SUM(M66:M69)</f>
        <v/>
      </c>
      <c r="N70" s="10" t="inlineStr">
        <is>
          <t>$M</t>
        </is>
      </c>
      <c r="O70" s="10" t="inlineStr">
        <is>
          <t>FY2026A ties to reported segment sales.</t>
        </is>
      </c>
    </row>
    <row r="71">
      <c r="B71" s="7" t="inlineStr">
        <is>
          <t>Revenue growth (calculated check row)</t>
        </is>
      </c>
      <c r="D71" s="19">
        <f>IF(C70=0,0,D70/C70-1)</f>
        <v/>
      </c>
      <c r="E71" s="19">
        <f>IF(D70=0,0,E70/D70-1)</f>
        <v/>
      </c>
      <c r="F71" s="19">
        <f>IF(E70=0,0,F70/E70-1)</f>
        <v/>
      </c>
      <c r="G71" s="19">
        <f>IF(F70=0,0,G70/F70-1)</f>
        <v/>
      </c>
      <c r="H71" s="19">
        <f>IF(G70=0,0,H70/G70-1)</f>
        <v/>
      </c>
      <c r="I71" s="19">
        <f>IF(H70=0,0,I70/H70-1)</f>
        <v/>
      </c>
      <c r="J71" s="19">
        <f>IF(I70=0,0,J70/I70-1)</f>
        <v/>
      </c>
      <c r="K71" s="19">
        <f>IF(J70=0,0,K70/J70-1)</f>
        <v/>
      </c>
      <c r="L71" s="19">
        <f>IF(K70=0,0,L70/K70-1)</f>
        <v/>
      </c>
      <c r="M71" s="19">
        <f>IF(L70=0,0,M70/L70-1)</f>
        <v/>
      </c>
      <c r="N71" s="10" t="inlineStr">
        <is>
          <t>%</t>
        </is>
      </c>
      <c r="O71" s="10" t="inlineStr"/>
    </row>
    <row r="72">
      <c r="B72" s="7" t="inlineStr">
        <is>
          <t>Cost of sales (merchandise, services and store occupancy)</t>
        </is>
      </c>
      <c r="C72" s="20" t="n">
        <v>279.1</v>
      </c>
      <c r="D72" s="21">
        <f>D70*D46</f>
        <v/>
      </c>
      <c r="E72" s="21">
        <f>E70*E46</f>
        <v/>
      </c>
      <c r="F72" s="21">
        <f>F70*F46</f>
        <v/>
      </c>
      <c r="G72" s="21">
        <f>G70*G46</f>
        <v/>
      </c>
      <c r="H72" s="21">
        <f>H70*H46</f>
        <v/>
      </c>
      <c r="I72" s="21">
        <f>I70*I46</f>
        <v/>
      </c>
      <c r="J72" s="21">
        <f>J70*J46</f>
        <v/>
      </c>
      <c r="K72" s="21">
        <f>K70*K46</f>
        <v/>
      </c>
      <c r="L72" s="21">
        <f>L70*L46</f>
        <v/>
      </c>
      <c r="M72" s="21">
        <f>M70*M46</f>
        <v/>
      </c>
      <c r="N72" s="10" t="inlineStr">
        <is>
          <t>$M</t>
        </is>
      </c>
      <c r="O72" s="10" t="inlineStr">
        <is>
          <t>Segment split of consolidated 4,119.0 is a team allocation (see Assumptions &amp; Sources).</t>
        </is>
      </c>
    </row>
    <row r="73">
      <c r="B73" s="3" t="inlineStr">
        <is>
          <t>Gross profit</t>
        </is>
      </c>
      <c r="C73" s="26">
        <f>C70-C72</f>
        <v/>
      </c>
      <c r="D73" s="26">
        <f>D70-D72</f>
        <v/>
      </c>
      <c r="E73" s="26">
        <f>E70-E72</f>
        <v/>
      </c>
      <c r="F73" s="26">
        <f>F70-F72</f>
        <v/>
      </c>
      <c r="G73" s="26">
        <f>G70-G72</f>
        <v/>
      </c>
      <c r="H73" s="26">
        <f>H70-H72</f>
        <v/>
      </c>
      <c r="I73" s="26">
        <f>I70-I72</f>
        <v/>
      </c>
      <c r="J73" s="26">
        <f>J70-J72</f>
        <v/>
      </c>
      <c r="K73" s="26">
        <f>K70-K72</f>
        <v/>
      </c>
      <c r="L73" s="26">
        <f>L70-L72</f>
        <v/>
      </c>
      <c r="M73" s="26">
        <f>M70-M72</f>
        <v/>
      </c>
      <c r="N73" s="10" t="inlineStr">
        <is>
          <t>$M</t>
        </is>
      </c>
      <c r="O73" s="10" t="inlineStr"/>
    </row>
    <row r="74">
      <c r="B74" s="7" t="inlineStr">
        <is>
          <t>Gross margin %</t>
        </is>
      </c>
      <c r="C74" s="19">
        <f>IF(C70=0,0,C73/C70)</f>
        <v/>
      </c>
      <c r="D74" s="19">
        <f>IF(D70=0,0,D73/D70)</f>
        <v/>
      </c>
      <c r="E74" s="19">
        <f>IF(E70=0,0,E73/E70)</f>
        <v/>
      </c>
      <c r="F74" s="19">
        <f>IF(F70=0,0,F73/F70)</f>
        <v/>
      </c>
      <c r="G74" s="19">
        <f>IF(G70=0,0,G73/G70)</f>
        <v/>
      </c>
      <c r="H74" s="19">
        <f>IF(H70=0,0,H73/H70)</f>
        <v/>
      </c>
      <c r="I74" s="19">
        <f>IF(I70=0,0,I73/I70)</f>
        <v/>
      </c>
      <c r="J74" s="19">
        <f>IF(J70=0,0,J73/J70)</f>
        <v/>
      </c>
      <c r="K74" s="19">
        <f>IF(K70=0,0,K73/K70)</f>
        <v/>
      </c>
      <c r="L74" s="19">
        <f>IF(L70=0,0,L73/L70)</f>
        <v/>
      </c>
      <c r="M74" s="19">
        <f>IF(M70=0,0,M73/M70)</f>
        <v/>
      </c>
      <c r="N74" s="10" t="inlineStr">
        <is>
          <t>%</t>
        </is>
      </c>
      <c r="O74" s="10" t="inlineStr"/>
    </row>
    <row r="75">
      <c r="B75" s="7" t="inlineStr">
        <is>
          <t>Variable SG&amp;A</t>
        </is>
      </c>
      <c r="C75" s="20" t="n">
        <v>61.6</v>
      </c>
      <c r="D75" s="21">
        <f>D70*D47</f>
        <v/>
      </c>
      <c r="E75" s="21">
        <f>E70*E47</f>
        <v/>
      </c>
      <c r="F75" s="21">
        <f>F70*F47</f>
        <v/>
      </c>
      <c r="G75" s="21">
        <f>G70*G47</f>
        <v/>
      </c>
      <c r="H75" s="21">
        <f>H70*H47</f>
        <v/>
      </c>
      <c r="I75" s="21">
        <f>I70*I47</f>
        <v/>
      </c>
      <c r="J75" s="21">
        <f>J70*J47</f>
        <v/>
      </c>
      <c r="K75" s="21">
        <f>K70*K47</f>
        <v/>
      </c>
      <c r="L75" s="21">
        <f>L70*L47</f>
        <v/>
      </c>
      <c r="M75" s="21">
        <f>M70*M47</f>
        <v/>
      </c>
      <c r="N75" s="10" t="inlineStr">
        <is>
          <t>$M</t>
        </is>
      </c>
      <c r="O75" s="10" t="inlineStr"/>
    </row>
    <row r="76">
      <c r="B76" s="7" t="inlineStr">
        <is>
          <t>Fixed SG&amp;A (net of cost savings)</t>
        </is>
      </c>
      <c r="C76" s="20" t="n">
        <v>51.4</v>
      </c>
      <c r="D76" s="21">
        <f>C76*(1+D48)-D49</f>
        <v/>
      </c>
      <c r="E76" s="21">
        <f>D76*(1+E48)-E49</f>
        <v/>
      </c>
      <c r="F76" s="21">
        <f>E76*(1+F48)-F49</f>
        <v/>
      </c>
      <c r="G76" s="21">
        <f>F76*(1+G48)-G49</f>
        <v/>
      </c>
      <c r="H76" s="21">
        <f>G76*(1+H48)-H49</f>
        <v/>
      </c>
      <c r="I76" s="21">
        <f>H76*(1+I48)-I49</f>
        <v/>
      </c>
      <c r="J76" s="21">
        <f>I76*(1+J48)-J49</f>
        <v/>
      </c>
      <c r="K76" s="21">
        <f>J76*(1+K48)-K49</f>
        <v/>
      </c>
      <c r="L76" s="21">
        <f>K76*(1+L48)-L49</f>
        <v/>
      </c>
      <c r="M76" s="21">
        <f>L76*(1+M48)-M49</f>
        <v/>
      </c>
      <c r="N76" s="10" t="inlineStr">
        <is>
          <t>$M</t>
        </is>
      </c>
      <c r="O76" s="10" t="inlineStr">
        <is>
          <t>Last Yr fixed SG&amp;A = segment SG&amp;A less variable component.</t>
        </is>
      </c>
    </row>
    <row r="77">
      <c r="B77" s="7" t="inlineStr">
        <is>
          <t>Total SG&amp;A</t>
        </is>
      </c>
      <c r="C77" s="21">
        <f>C75+C76</f>
        <v/>
      </c>
      <c r="D77" s="21">
        <f>D75+D76</f>
        <v/>
      </c>
      <c r="E77" s="21">
        <f>E75+E76</f>
        <v/>
      </c>
      <c r="F77" s="21">
        <f>F75+F76</f>
        <v/>
      </c>
      <c r="G77" s="21">
        <f>G75+G76</f>
        <v/>
      </c>
      <c r="H77" s="21">
        <f>H75+H76</f>
        <v/>
      </c>
      <c r="I77" s="21">
        <f>I75+I76</f>
        <v/>
      </c>
      <c r="J77" s="21">
        <f>J75+J76</f>
        <v/>
      </c>
      <c r="K77" s="21">
        <f>K75+K76</f>
        <v/>
      </c>
      <c r="L77" s="21">
        <f>L75+L76</f>
        <v/>
      </c>
      <c r="M77" s="21">
        <f>M75+M76</f>
        <v/>
      </c>
      <c r="N77" s="10" t="inlineStr">
        <is>
          <t>$M</t>
        </is>
      </c>
      <c r="O77" s="10" t="inlineStr"/>
    </row>
    <row r="78">
      <c r="B78" s="7" t="inlineStr">
        <is>
          <t>SG&amp;A % of sales</t>
        </is>
      </c>
      <c r="C78" s="19">
        <f>IF(C70=0,0,C77/C70)</f>
        <v/>
      </c>
      <c r="D78" s="19">
        <f>IF(D70=0,0,D77/D70)</f>
        <v/>
      </c>
      <c r="E78" s="19">
        <f>IF(E70=0,0,E77/E70)</f>
        <v/>
      </c>
      <c r="F78" s="19">
        <f>IF(F70=0,0,F77/F70)</f>
        <v/>
      </c>
      <c r="G78" s="19">
        <f>IF(G70=0,0,G77/G70)</f>
        <v/>
      </c>
      <c r="H78" s="19">
        <f>IF(H70=0,0,H77/H70)</f>
        <v/>
      </c>
      <c r="I78" s="19">
        <f>IF(I70=0,0,I77/I70)</f>
        <v/>
      </c>
      <c r="J78" s="19">
        <f>IF(J70=0,0,J77/J70)</f>
        <v/>
      </c>
      <c r="K78" s="19">
        <f>IF(K70=0,0,K77/K70)</f>
        <v/>
      </c>
      <c r="L78" s="19">
        <f>IF(L70=0,0,L77/L70)</f>
        <v/>
      </c>
      <c r="M78" s="19">
        <f>IF(M70=0,0,M77/M70)</f>
        <v/>
      </c>
      <c r="N78" s="10" t="inlineStr">
        <is>
          <t>%</t>
        </is>
      </c>
      <c r="O78" s="10" t="inlineStr"/>
    </row>
    <row r="79">
      <c r="B79" s="7" t="inlineStr">
        <is>
          <t>Other operating income / (expense)</t>
        </is>
      </c>
      <c r="C79" s="20" t="n">
        <v>-2</v>
      </c>
      <c r="D79" s="21">
        <f>D50</f>
        <v/>
      </c>
      <c r="E79" s="21">
        <f>E50</f>
        <v/>
      </c>
      <c r="F79" s="21">
        <f>F50</f>
        <v/>
      </c>
      <c r="G79" s="21">
        <f>G50</f>
        <v/>
      </c>
      <c r="H79" s="21">
        <f>H50</f>
        <v/>
      </c>
      <c r="I79" s="21">
        <f>I50</f>
        <v/>
      </c>
      <c r="J79" s="21">
        <f>J50</f>
        <v/>
      </c>
      <c r="K79" s="21">
        <f>K50</f>
        <v/>
      </c>
      <c r="L79" s="21">
        <f>L50</f>
        <v/>
      </c>
      <c r="M79" s="21">
        <f>M50</f>
        <v/>
      </c>
      <c r="N79" s="10" t="inlineStr">
        <is>
          <t>$M</t>
        </is>
      </c>
      <c r="O79" s="10" t="inlineStr">
        <is>
          <t>Last Yr: impairments &amp; restructuring (consolidated -128.3); projection = one-time assumption row.</t>
        </is>
      </c>
    </row>
    <row r="80">
      <c r="B80" s="3" t="inlineStr">
        <is>
          <t>OPERATING INCOME</t>
        </is>
      </c>
      <c r="C80" s="26">
        <f>C73-C77+C79</f>
        <v/>
      </c>
      <c r="D80" s="26">
        <f>D73-D77+D79</f>
        <v/>
      </c>
      <c r="E80" s="26">
        <f>E73-E77+E79</f>
        <v/>
      </c>
      <c r="F80" s="26">
        <f>F73-F77+F79</f>
        <v/>
      </c>
      <c r="G80" s="26">
        <f>G73-G77+G79</f>
        <v/>
      </c>
      <c r="H80" s="26">
        <f>H73-H77+H79</f>
        <v/>
      </c>
      <c r="I80" s="26">
        <f>I73-I77+I79</f>
        <v/>
      </c>
      <c r="J80" s="26">
        <f>J73-J77+J79</f>
        <v/>
      </c>
      <c r="K80" s="26">
        <f>K73-K77+K79</f>
        <v/>
      </c>
      <c r="L80" s="26">
        <f>L73-L77+L79</f>
        <v/>
      </c>
      <c r="M80" s="26">
        <f>M73-M77+M79</f>
        <v/>
      </c>
      <c r="N80" s="10" t="inlineStr">
        <is>
          <t>$M</t>
        </is>
      </c>
      <c r="O80" s="10" t="inlineStr">
        <is>
          <t>FY2026A ties to reported segment operating income.</t>
        </is>
      </c>
    </row>
    <row r="81">
      <c r="B81" s="7" t="inlineStr">
        <is>
          <t>Operating margin %</t>
        </is>
      </c>
      <c r="C81" s="19">
        <f>IF(C70=0,0,C80/C70)</f>
        <v/>
      </c>
      <c r="D81" s="19">
        <f>IF(D70=0,0,D80/D70)</f>
        <v/>
      </c>
      <c r="E81" s="19">
        <f>IF(E70=0,0,E80/E70)</f>
        <v/>
      </c>
      <c r="F81" s="19">
        <f>IF(F70=0,0,F80/F70)</f>
        <v/>
      </c>
      <c r="G81" s="19">
        <f>IF(G70=0,0,G80/G70)</f>
        <v/>
      </c>
      <c r="H81" s="19">
        <f>IF(H70=0,0,H80/H70)</f>
        <v/>
      </c>
      <c r="I81" s="19">
        <f>IF(I70=0,0,I80/I70)</f>
        <v/>
      </c>
      <c r="J81" s="19">
        <f>IF(J70=0,0,J80/J70)</f>
        <v/>
      </c>
      <c r="K81" s="19">
        <f>IF(K70=0,0,K80/K70)</f>
        <v/>
      </c>
      <c r="L81" s="19">
        <f>IF(L70=0,0,L80/L70)</f>
        <v/>
      </c>
      <c r="M81" s="19">
        <f>IF(M70=0,0,M80/M70)</f>
        <v/>
      </c>
      <c r="N81" s="10" t="inlineStr">
        <is>
          <t>%</t>
        </is>
      </c>
      <c r="O81" s="10" t="inlineStr"/>
    </row>
    <row r="82">
      <c r="B82" s="7" t="inlineStr">
        <is>
          <t>Interest income on invested assets (yield x prior-year cash)</t>
        </is>
      </c>
      <c r="C82" s="20" t="n">
        <v>0.3</v>
      </c>
      <c r="D82" s="21">
        <f>C104*D51</f>
        <v/>
      </c>
      <c r="E82" s="21">
        <f>D104*E51</f>
        <v/>
      </c>
      <c r="F82" s="21">
        <f>E104*F51</f>
        <v/>
      </c>
      <c r="G82" s="21">
        <f>F104*G51</f>
        <v/>
      </c>
      <c r="H82" s="21">
        <f>G104*H51</f>
        <v/>
      </c>
      <c r="I82" s="21">
        <f>H104*I51</f>
        <v/>
      </c>
      <c r="J82" s="21">
        <f>I104*J51</f>
        <v/>
      </c>
      <c r="K82" s="21">
        <f>J104*K51</f>
        <v/>
      </c>
      <c r="L82" s="21">
        <f>K104*L51</f>
        <v/>
      </c>
      <c r="M82" s="21">
        <f>L104*M51</f>
        <v/>
      </c>
      <c r="N82" s="10" t="inlineStr">
        <is>
          <t>$M</t>
        </is>
      </c>
      <c r="O82" s="10" t="inlineStr">
        <is>
          <t>Last Yr = allocated share of 4.0 net interest + 1.0 other non-operating income.</t>
        </is>
      </c>
    </row>
    <row r="83">
      <c r="B83" s="7" t="inlineStr">
        <is>
          <t>Interest expense on debt (rate x prior-year debt)</t>
        </is>
      </c>
      <c r="C83" s="20" t="n">
        <v>0</v>
      </c>
      <c r="D83" s="21">
        <f>C107*D52</f>
        <v/>
      </c>
      <c r="E83" s="21">
        <f>D107*E52</f>
        <v/>
      </c>
      <c r="F83" s="21">
        <f>E107*F52</f>
        <v/>
      </c>
      <c r="G83" s="21">
        <f>F107*G52</f>
        <v/>
      </c>
      <c r="H83" s="21">
        <f>G107*H52</f>
        <v/>
      </c>
      <c r="I83" s="21">
        <f>H107*I52</f>
        <v/>
      </c>
      <c r="J83" s="21">
        <f>I107*J52</f>
        <v/>
      </c>
      <c r="K83" s="21">
        <f>J107*K52</f>
        <v/>
      </c>
      <c r="L83" s="21">
        <f>K107*L52</f>
        <v/>
      </c>
      <c r="M83" s="21">
        <f>L107*M52</f>
        <v/>
      </c>
      <c r="N83" s="10" t="inlineStr">
        <is>
          <t>$M</t>
        </is>
      </c>
      <c r="O83" s="10" t="inlineStr"/>
    </row>
    <row r="84">
      <c r="B84" s="3" t="inlineStr">
        <is>
          <t>Income before income taxes</t>
        </is>
      </c>
      <c r="C84" s="26">
        <f>C80+C82-C83</f>
        <v/>
      </c>
      <c r="D84" s="26">
        <f>D80+D82-D83</f>
        <v/>
      </c>
      <c r="E84" s="26">
        <f>E80+E82-E83</f>
        <v/>
      </c>
      <c r="F84" s="26">
        <f>F80+F82-F83</f>
        <v/>
      </c>
      <c r="G84" s="26">
        <f>G80+G82-G83</f>
        <v/>
      </c>
      <c r="H84" s="26">
        <f>H80+H82-H83</f>
        <v/>
      </c>
      <c r="I84" s="26">
        <f>I80+I82-I83</f>
        <v/>
      </c>
      <c r="J84" s="26">
        <f>J80+J82-J83</f>
        <v/>
      </c>
      <c r="K84" s="26">
        <f>K80+K82-K83</f>
        <v/>
      </c>
      <c r="L84" s="26">
        <f>L80+L82-L83</f>
        <v/>
      </c>
      <c r="M84" s="26">
        <f>M80+M82-M83</f>
        <v/>
      </c>
      <c r="N84" s="10" t="inlineStr">
        <is>
          <t>$M</t>
        </is>
      </c>
      <c r="O84" s="10" t="inlineStr"/>
    </row>
    <row r="85">
      <c r="B85" s="7" t="inlineStr">
        <is>
          <t>Pre-tax margin %</t>
        </is>
      </c>
      <c r="C85" s="19">
        <f>IF(C70=0,0,C84/C70)</f>
        <v/>
      </c>
      <c r="D85" s="19">
        <f>IF(D70=0,0,D84/D70)</f>
        <v/>
      </c>
      <c r="E85" s="19">
        <f>IF(E70=0,0,E84/E70)</f>
        <v/>
      </c>
      <c r="F85" s="19">
        <f>IF(F70=0,0,F84/F70)</f>
        <v/>
      </c>
      <c r="G85" s="19">
        <f>IF(G70=0,0,G84/G70)</f>
        <v/>
      </c>
      <c r="H85" s="19">
        <f>IF(H70=0,0,H84/H70)</f>
        <v/>
      </c>
      <c r="I85" s="19">
        <f>IF(I70=0,0,I84/I70)</f>
        <v/>
      </c>
      <c r="J85" s="19">
        <f>IF(J70=0,0,J84/J70)</f>
        <v/>
      </c>
      <c r="K85" s="19">
        <f>IF(K70=0,0,K84/K70)</f>
        <v/>
      </c>
      <c r="L85" s="19">
        <f>IF(L70=0,0,L84/L70)</f>
        <v/>
      </c>
      <c r="M85" s="19">
        <f>IF(M70=0,0,M84/M70)</f>
        <v/>
      </c>
      <c r="N85" s="10" t="inlineStr">
        <is>
          <t>%</t>
        </is>
      </c>
      <c r="O85" s="10" t="inlineStr"/>
    </row>
    <row r="86">
      <c r="B86" s="7" t="inlineStr">
        <is>
          <t>Income taxes</t>
        </is>
      </c>
      <c r="C86" s="20" t="n">
        <v>4.3</v>
      </c>
      <c r="D86" s="21">
        <f>D84*D53</f>
        <v/>
      </c>
      <c r="E86" s="21">
        <f>E84*E53</f>
        <v/>
      </c>
      <c r="F86" s="21">
        <f>F84*F53</f>
        <v/>
      </c>
      <c r="G86" s="21">
        <f>G84*G53</f>
        <v/>
      </c>
      <c r="H86" s="21">
        <f>H84*H53</f>
        <v/>
      </c>
      <c r="I86" s="21">
        <f>I84*I53</f>
        <v/>
      </c>
      <c r="J86" s="21">
        <f>J84*J53</f>
        <v/>
      </c>
      <c r="K86" s="21">
        <f>K84*K53</f>
        <v/>
      </c>
      <c r="L86" s="21">
        <f>L84*L53</f>
        <v/>
      </c>
      <c r="M86" s="21">
        <f>M84*M53</f>
        <v/>
      </c>
      <c r="N86" s="10" t="inlineStr">
        <is>
          <t>$M</t>
        </is>
      </c>
      <c r="O86" s="10" t="inlineStr">
        <is>
          <t>Last Yr = allocated share of 103.7 (26.0% effective rate).</t>
        </is>
      </c>
    </row>
    <row r="87">
      <c r="B87" s="3" t="inlineStr">
        <is>
          <t>NET INCOME</t>
        </is>
      </c>
      <c r="C87" s="26">
        <f>C84-C86</f>
        <v/>
      </c>
      <c r="D87" s="26">
        <f>D84-D86</f>
        <v/>
      </c>
      <c r="E87" s="26">
        <f>E84-E86</f>
        <v/>
      </c>
      <c r="F87" s="26">
        <f>F84-F86</f>
        <v/>
      </c>
      <c r="G87" s="26">
        <f>G84-G86</f>
        <v/>
      </c>
      <c r="H87" s="26">
        <f>H84-H86</f>
        <v/>
      </c>
      <c r="I87" s="26">
        <f>I84-I86</f>
        <v/>
      </c>
      <c r="J87" s="26">
        <f>J84-J86</f>
        <v/>
      </c>
      <c r="K87" s="26">
        <f>K84-K86</f>
        <v/>
      </c>
      <c r="L87" s="26">
        <f>L84-L86</f>
        <v/>
      </c>
      <c r="M87" s="26">
        <f>M84-M86</f>
        <v/>
      </c>
      <c r="N87" s="10" t="inlineStr">
        <is>
          <t>$M</t>
        </is>
      </c>
      <c r="O87" s="10" t="inlineStr"/>
    </row>
    <row r="88">
      <c r="B88" s="7" t="inlineStr">
        <is>
          <t>Net margin %</t>
        </is>
      </c>
      <c r="C88" s="19">
        <f>IF(C70=0,0,C87/C70)</f>
        <v/>
      </c>
      <c r="D88" s="19">
        <f>IF(D70=0,0,D87/D70)</f>
        <v/>
      </c>
      <c r="E88" s="19">
        <f>IF(E70=0,0,E87/E70)</f>
        <v/>
      </c>
      <c r="F88" s="19">
        <f>IF(F70=0,0,F87/F70)</f>
        <v/>
      </c>
      <c r="G88" s="19">
        <f>IF(G70=0,0,G87/G70)</f>
        <v/>
      </c>
      <c r="H88" s="19">
        <f>IF(H70=0,0,H87/H70)</f>
        <v/>
      </c>
      <c r="I88" s="19">
        <f>IF(I70=0,0,I87/I70)</f>
        <v/>
      </c>
      <c r="J88" s="19">
        <f>IF(J70=0,0,J87/J70)</f>
        <v/>
      </c>
      <c r="K88" s="19">
        <f>IF(K70=0,0,K87/K70)</f>
        <v/>
      </c>
      <c r="L88" s="19">
        <f>IF(L70=0,0,L87/L70)</f>
        <v/>
      </c>
      <c r="M88" s="19">
        <f>IF(M70=0,0,M87/M70)</f>
        <v/>
      </c>
      <c r="N88" s="10" t="inlineStr">
        <is>
          <t>%</t>
        </is>
      </c>
      <c r="O88" s="10" t="inlineStr"/>
    </row>
    <row r="89"/>
    <row r="90">
      <c r="A90" s="22" t="inlineStr">
        <is>
          <t>Valuation</t>
        </is>
      </c>
      <c r="B90" s="23" t="inlineStr">
        <is>
          <t>DISTRIBUTIONS &amp; VALUATION (profits-released approach)</t>
        </is>
      </c>
      <c r="C90" s="24" t="n"/>
      <c r="D90" s="24" t="n"/>
      <c r="E90" s="24" t="n"/>
      <c r="F90" s="24" t="n"/>
      <c r="G90" s="24" t="n"/>
      <c r="H90" s="24" t="n"/>
      <c r="I90" s="24" t="n"/>
      <c r="J90" s="24" t="n"/>
      <c r="K90" s="24" t="n"/>
      <c r="L90" s="24" t="n"/>
      <c r="M90" s="24" t="n"/>
      <c r="N90" s="24" t="n"/>
      <c r="O90" s="24" t="n"/>
    </row>
    <row r="91">
      <c r="B91" s="7" t="inlineStr">
        <is>
          <t>Distributions to shareholders (dividends + buybacks = net income)</t>
        </is>
      </c>
      <c r="C91" s="21">
        <f>C87</f>
        <v/>
      </c>
      <c r="D91" s="21">
        <f>D87</f>
        <v/>
      </c>
      <c r="E91" s="21">
        <f>E87</f>
        <v/>
      </c>
      <c r="F91" s="21">
        <f>F87</f>
        <v/>
      </c>
      <c r="G91" s="21">
        <f>G87</f>
        <v/>
      </c>
      <c r="H91" s="21">
        <f>H87</f>
        <v/>
      </c>
      <c r="I91" s="21">
        <f>I87</f>
        <v/>
      </c>
      <c r="J91" s="21">
        <f>J87</f>
        <v/>
      </c>
      <c r="K91" s="21">
        <f>K87</f>
        <v/>
      </c>
      <c r="L91" s="21">
        <f>L87</f>
        <v/>
      </c>
      <c r="M91" s="21">
        <f>M87</f>
        <v/>
      </c>
      <c r="N91" s="10" t="inlineStr">
        <is>
          <t>$M</t>
        </is>
      </c>
      <c r="O91" s="10" t="inlineStr">
        <is>
          <t>Profits released: 100% of net income distributed (dividends + buybacks).</t>
        </is>
      </c>
    </row>
    <row r="92">
      <c r="B92" s="7" t="inlineStr">
        <is>
          <t>Earnings retained in equity</t>
        </is>
      </c>
      <c r="C92" s="21">
        <f>C87-C91</f>
        <v/>
      </c>
      <c r="D92" s="21">
        <f>D87-D91</f>
        <v/>
      </c>
      <c r="E92" s="21">
        <f>E87-E91</f>
        <v/>
      </c>
      <c r="F92" s="21">
        <f>F87-F91</f>
        <v/>
      </c>
      <c r="G92" s="21">
        <f>G87-G91</f>
        <v/>
      </c>
      <c r="H92" s="21">
        <f>H87-H91</f>
        <v/>
      </c>
      <c r="I92" s="21">
        <f>I87-I91</f>
        <v/>
      </c>
      <c r="J92" s="21">
        <f>J87-J91</f>
        <v/>
      </c>
      <c r="K92" s="21">
        <f>K87-K91</f>
        <v/>
      </c>
      <c r="L92" s="21">
        <f>L87-L91</f>
        <v/>
      </c>
      <c r="M92" s="21">
        <f>M87-M91</f>
        <v/>
      </c>
      <c r="N92" s="10" t="inlineStr">
        <is>
          <t>$M</t>
        </is>
      </c>
      <c r="O92" s="10" t="inlineStr">
        <is>
          <t>Zero under profits released; would be positive under profits retained.</t>
        </is>
      </c>
    </row>
    <row r="93">
      <c r="B93" s="7" t="inlineStr">
        <is>
          <t>Distributable cash flow to shareholders (discounted below)</t>
        </is>
      </c>
      <c r="D93" s="21">
        <f>D91</f>
        <v/>
      </c>
      <c r="E93" s="21">
        <f>E91</f>
        <v/>
      </c>
      <c r="F93" s="21">
        <f>F91</f>
        <v/>
      </c>
      <c r="G93" s="21">
        <f>G91</f>
        <v/>
      </c>
      <c r="H93" s="21">
        <f>H91</f>
        <v/>
      </c>
      <c r="I93" s="21">
        <f>I91</f>
        <v/>
      </c>
      <c r="J93" s="21">
        <f>J91</f>
        <v/>
      </c>
      <c r="K93" s="21">
        <f>K91</f>
        <v/>
      </c>
      <c r="L93" s="21">
        <f>L91</f>
        <v/>
      </c>
      <c r="M93" s="21">
        <f>M91</f>
        <v/>
      </c>
      <c r="N93" s="10" t="inlineStr">
        <is>
          <t>$M</t>
        </is>
      </c>
      <c r="O93" s="10" t="inlineStr"/>
    </row>
    <row r="94">
      <c r="B94" s="7" t="inlineStr">
        <is>
          <t>Discount rate used (from scenario block)</t>
        </is>
      </c>
      <c r="C94" s="19">
        <f>D54</f>
        <v/>
      </c>
      <c r="N94" s="10" t="inlineStr">
        <is>
          <t>%</t>
        </is>
      </c>
      <c r="O94" s="10" t="inlineStr">
        <is>
          <t>Reads the scenario-run discount rate so a discount-rate shock flows through.</t>
        </is>
      </c>
    </row>
    <row r="95">
      <c r="B95" s="7" t="inlineStr">
        <is>
          <t>Terminal value = shareholders' equity at end of FY2036</t>
        </is>
      </c>
      <c r="C95" s="21">
        <f>M110</f>
        <v/>
      </c>
      <c r="N95" s="10" t="inlineStr">
        <is>
          <t>$M</t>
        </is>
      </c>
      <c r="O95" s="10" t="inlineStr"/>
    </row>
    <row r="96">
      <c r="B96" s="7" t="inlineStr">
        <is>
          <t>PV of FY2027-FY2036 distributable cash flows</t>
        </is>
      </c>
      <c r="C96" s="21">
        <f>NPV(C94,D93:M93)</f>
        <v/>
      </c>
      <c r="N96" s="10" t="inlineStr">
        <is>
          <t>$M</t>
        </is>
      </c>
      <c r="O96" s="10" t="inlineStr">
        <is>
          <t>NPV over the 10 model years (end-of-year cash flows).</t>
        </is>
      </c>
    </row>
    <row r="97">
      <c r="B97" s="7" t="inlineStr">
        <is>
          <t>PV of terminal value</t>
        </is>
      </c>
      <c r="C97" s="21">
        <f>C95/(1+C94)^10</f>
        <v/>
      </c>
      <c r="N97" s="10" t="inlineStr">
        <is>
          <t>$M</t>
        </is>
      </c>
      <c r="O97" s="10" t="inlineStr">
        <is>
          <t>Terminal equity discounted 10 years.</t>
        </is>
      </c>
    </row>
    <row r="98">
      <c r="B98" s="3" t="inlineStr">
        <is>
          <t>SEGMENT VALUE - BASELINE (snapshot, hard-coded for 3(d) comparison)</t>
        </is>
      </c>
      <c r="C98" s="27" t="n">
        <v>107.66</v>
      </c>
      <c r="N98" s="10" t="inlineStr">
        <is>
          <t>$M</t>
        </is>
      </c>
      <c r="O98" s="10" t="inlineStr">
        <is>
          <t>Hard-coded copy of the live value (blue). In 3(d), shocks move the SCENARIO value; this stays fixed.</t>
        </is>
      </c>
    </row>
    <row r="99">
      <c r="B99" s="3" t="inlineStr">
        <is>
          <t>SEGMENT VALUE - SCENARIO RUN (live formula)</t>
        </is>
      </c>
      <c r="C99" s="26">
        <f>C96+C97</f>
        <v/>
      </c>
      <c r="N99" s="10" t="inlineStr">
        <is>
          <t>$M</t>
        </is>
      </c>
      <c r="O99" s="10" t="inlineStr">
        <is>
          <t>PV of distributable cash flows + PV of terminal equity.</t>
        </is>
      </c>
    </row>
    <row r="100">
      <c r="B100" s="7" t="inlineStr">
        <is>
          <t>% change vs baseline</t>
        </is>
      </c>
      <c r="C100" s="19">
        <f>IF(C98=0,0,C99/C98-1)</f>
        <v/>
      </c>
      <c r="N100" s="10" t="inlineStr">
        <is>
          <t>%</t>
        </is>
      </c>
      <c r="O100" s="10" t="inlineStr"/>
    </row>
    <row r="101">
      <c r="B101" s="7" t="inlineStr">
        <is>
          <t>$ change vs baseline</t>
        </is>
      </c>
      <c r="C101" s="21">
        <f>C99-C98</f>
        <v/>
      </c>
      <c r="N101" s="10" t="inlineStr">
        <is>
          <t>$M</t>
        </is>
      </c>
      <c r="O101" s="10" t="inlineStr"/>
    </row>
    <row r="102"/>
    <row r="103">
      <c r="A103" s="22" t="inlineStr">
        <is>
          <t>Balance sheet</t>
        </is>
      </c>
      <c r="B103" s="23" t="inlineStr">
        <is>
          <t>BALANCE SHEET (simplified, cash basis, year-end)</t>
        </is>
      </c>
      <c r="C103" s="24" t="n"/>
      <c r="D103" s="24" t="n"/>
      <c r="E103" s="24" t="n"/>
      <c r="F103" s="24" t="n"/>
      <c r="G103" s="24" t="n"/>
      <c r="H103" s="24" t="n"/>
      <c r="I103" s="24" t="n"/>
      <c r="J103" s="24" t="n"/>
      <c r="K103" s="24" t="n"/>
      <c r="L103" s="24" t="n"/>
      <c r="M103" s="24" t="n"/>
      <c r="N103" s="24" t="n"/>
      <c r="O103" s="24" t="n"/>
    </row>
    <row r="104">
      <c r="B104" s="7" t="inlineStr">
        <is>
          <t>Invested assets (cash &amp; cash equivalents)</t>
        </is>
      </c>
      <c r="C104" s="20" t="n">
        <v>52.7</v>
      </c>
      <c r="D104" s="21">
        <f>C104+D92</f>
        <v/>
      </c>
      <c r="E104" s="21">
        <f>D104+E92</f>
        <v/>
      </c>
      <c r="F104" s="21">
        <f>E104+F92</f>
        <v/>
      </c>
      <c r="G104" s="21">
        <f>F104+G92</f>
        <v/>
      </c>
      <c r="H104" s="21">
        <f>G104+H92</f>
        <v/>
      </c>
      <c r="I104" s="21">
        <f>H104+I92</f>
        <v/>
      </c>
      <c r="J104" s="21">
        <f>I104+J92</f>
        <v/>
      </c>
      <c r="K104" s="21">
        <f>J104+K92</f>
        <v/>
      </c>
      <c r="L104" s="21">
        <f>K104+L92</f>
        <v/>
      </c>
      <c r="M104" s="21">
        <f>L104+M92</f>
        <v/>
      </c>
      <c r="N104" s="10" t="inlineStr">
        <is>
          <t>$M</t>
        </is>
      </c>
      <c r="O104" s="10" t="inlineStr">
        <is>
          <t>Static under profits released (grows only by retained earnings).</t>
        </is>
      </c>
    </row>
    <row r="105">
      <c r="B105" s="7" t="inlineStr">
        <is>
          <t>Inventory and other non-depreciating operating assets</t>
        </is>
      </c>
      <c r="C105" s="20" t="n">
        <v>116.9</v>
      </c>
      <c r="D105" s="21">
        <f>C105</f>
        <v/>
      </c>
      <c r="E105" s="21">
        <f>D105</f>
        <v/>
      </c>
      <c r="F105" s="21">
        <f>E105</f>
        <v/>
      </c>
      <c r="G105" s="21">
        <f>F105</f>
        <v/>
      </c>
      <c r="H105" s="21">
        <f>G105</f>
        <v/>
      </c>
      <c r="I105" s="21">
        <f>H105</f>
        <v/>
      </c>
      <c r="J105" s="21">
        <f>I105</f>
        <v/>
      </c>
      <c r="K105" s="21">
        <f>J105</f>
        <v/>
      </c>
      <c r="L105" s="21">
        <f>K105</f>
        <v/>
      </c>
      <c r="M105" s="21">
        <f>L105</f>
        <v/>
      </c>
      <c r="N105" s="10" t="inlineStr">
        <is>
          <t>$M</t>
        </is>
      </c>
      <c r="O105" s="10" t="inlineStr">
        <is>
          <t>Non-depreciating operating asset held flat (no working-capital build modelled).</t>
        </is>
      </c>
    </row>
    <row r="106">
      <c r="B106" s="3" t="inlineStr">
        <is>
          <t>Total assets</t>
        </is>
      </c>
      <c r="C106" s="26">
        <f>C104+C105</f>
        <v/>
      </c>
      <c r="D106" s="26">
        <f>D104+D105</f>
        <v/>
      </c>
      <c r="E106" s="26">
        <f>E104+E105</f>
        <v/>
      </c>
      <c r="F106" s="26">
        <f>F104+F105</f>
        <v/>
      </c>
      <c r="G106" s="26">
        <f>G104+G105</f>
        <v/>
      </c>
      <c r="H106" s="26">
        <f>H104+H105</f>
        <v/>
      </c>
      <c r="I106" s="26">
        <f>I104+I105</f>
        <v/>
      </c>
      <c r="J106" s="26">
        <f>J104+J105</f>
        <v/>
      </c>
      <c r="K106" s="26">
        <f>K104+K105</f>
        <v/>
      </c>
      <c r="L106" s="26">
        <f>L104+L105</f>
        <v/>
      </c>
      <c r="M106" s="26">
        <f>M104+M105</f>
        <v/>
      </c>
      <c r="N106" s="10" t="inlineStr">
        <is>
          <t>$M</t>
        </is>
      </c>
      <c r="O106" s="10" t="inlineStr"/>
    </row>
    <row r="107">
      <c r="B107" s="7" t="inlineStr">
        <is>
          <t>Debt</t>
        </is>
      </c>
      <c r="C107" s="20" t="n">
        <v>0</v>
      </c>
      <c r="D107" s="21">
        <f>C107</f>
        <v/>
      </c>
      <c r="E107" s="21">
        <f>D107</f>
        <v/>
      </c>
      <c r="F107" s="21">
        <f>E107</f>
        <v/>
      </c>
      <c r="G107" s="21">
        <f>F107</f>
        <v/>
      </c>
      <c r="H107" s="21">
        <f>G107</f>
        <v/>
      </c>
      <c r="I107" s="21">
        <f>H107</f>
        <v/>
      </c>
      <c r="J107" s="21">
        <f>I107</f>
        <v/>
      </c>
      <c r="K107" s="21">
        <f>J107</f>
        <v/>
      </c>
      <c r="L107" s="21">
        <f>K107</f>
        <v/>
      </c>
      <c r="M107" s="21">
        <f>L107</f>
        <v/>
      </c>
      <c r="N107" s="10" t="inlineStr">
        <is>
          <t>$M</t>
        </is>
      </c>
      <c r="O107" s="10" t="inlineStr"/>
    </row>
    <row r="108">
      <c r="B108" s="7" t="inlineStr">
        <is>
          <t>Other liabilities, net (calibrated to reported equity)</t>
        </is>
      </c>
      <c r="C108" s="20" t="n">
        <v>51.1</v>
      </c>
      <c r="D108" s="21">
        <f>C108</f>
        <v/>
      </c>
      <c r="E108" s="21">
        <f>D108</f>
        <v/>
      </c>
      <c r="F108" s="21">
        <f>E108</f>
        <v/>
      </c>
      <c r="G108" s="21">
        <f>F108</f>
        <v/>
      </c>
      <c r="H108" s="21">
        <f>G108</f>
        <v/>
      </c>
      <c r="I108" s="21">
        <f>H108</f>
        <v/>
      </c>
      <c r="J108" s="21">
        <f>I108</f>
        <v/>
      </c>
      <c r="K108" s="21">
        <f>J108</f>
        <v/>
      </c>
      <c r="L108" s="21">
        <f>K108</f>
        <v/>
      </c>
      <c r="M108" s="21">
        <f>L108</f>
        <v/>
      </c>
      <c r="N108" s="10" t="inlineStr">
        <is>
          <t>$M</t>
        </is>
      </c>
      <c r="O108" s="10" t="inlineStr">
        <is>
          <t>Plug so that FY2026A simplified equity = reported shareholders' equity 1,966.2.</t>
        </is>
      </c>
    </row>
    <row r="109">
      <c r="B109" s="3" t="inlineStr">
        <is>
          <t>Total liabilities</t>
        </is>
      </c>
      <c r="C109" s="26">
        <f>C107+C108</f>
        <v/>
      </c>
      <c r="D109" s="26">
        <f>D107+D108</f>
        <v/>
      </c>
      <c r="E109" s="26">
        <f>E107+E108</f>
        <v/>
      </c>
      <c r="F109" s="26">
        <f>F107+F108</f>
        <v/>
      </c>
      <c r="G109" s="26">
        <f>G107+G108</f>
        <v/>
      </c>
      <c r="H109" s="26">
        <f>H107+H108</f>
        <v/>
      </c>
      <c r="I109" s="26">
        <f>I107+I108</f>
        <v/>
      </c>
      <c r="J109" s="26">
        <f>J107+J108</f>
        <v/>
      </c>
      <c r="K109" s="26">
        <f>K107+K108</f>
        <v/>
      </c>
      <c r="L109" s="26">
        <f>L107+L108</f>
        <v/>
      </c>
      <c r="M109" s="26">
        <f>M107+M108</f>
        <v/>
      </c>
      <c r="N109" s="10" t="inlineStr">
        <is>
          <t>$M</t>
        </is>
      </c>
      <c r="O109" s="10" t="inlineStr"/>
    </row>
    <row r="110">
      <c r="B110" s="3" t="inlineStr">
        <is>
          <t>SHAREHOLDERS' EQUITY</t>
        </is>
      </c>
      <c r="C110" s="26">
        <f>C106-C109</f>
        <v/>
      </c>
      <c r="D110" s="26">
        <f>D106-D109</f>
        <v/>
      </c>
      <c r="E110" s="26">
        <f>E106-E109</f>
        <v/>
      </c>
      <c r="F110" s="26">
        <f>F106-F109</f>
        <v/>
      </c>
      <c r="G110" s="26">
        <f>G106-G109</f>
        <v/>
      </c>
      <c r="H110" s="26">
        <f>H106-H109</f>
        <v/>
      </c>
      <c r="I110" s="26">
        <f>I106-I109</f>
        <v/>
      </c>
      <c r="J110" s="26">
        <f>J106-J109</f>
        <v/>
      </c>
      <c r="K110" s="26">
        <f>K106-K109</f>
        <v/>
      </c>
      <c r="L110" s="26">
        <f>L106-L109</f>
        <v/>
      </c>
      <c r="M110" s="26">
        <f>M106-M109</f>
        <v/>
      </c>
      <c r="N110" s="10" t="inlineStr">
        <is>
          <t>$M</t>
        </is>
      </c>
      <c r="O110" s="10" t="inlineStr">
        <is>
          <t>FY2026A total = 1,966.2 reported shareholders' equity.</t>
        </is>
      </c>
    </row>
    <row r="111">
      <c r="B111" s="7" t="inlineStr">
        <is>
          <t>Equity roll-forward check: Equity(t) - [Equity(t-1) + Net income(t) - Distributions(t)]  (= 0)</t>
        </is>
      </c>
      <c r="D111" s="21">
        <f>D110-(C110+D87-D91)</f>
        <v/>
      </c>
      <c r="E111" s="21">
        <f>E110-(D110+E87-E91)</f>
        <v/>
      </c>
      <c r="F111" s="21">
        <f>F110-(E110+F87-F91)</f>
        <v/>
      </c>
      <c r="G111" s="21">
        <f>G110-(F110+G87-G91)</f>
        <v/>
      </c>
      <c r="H111" s="21">
        <f>H110-(G110+H87-H91)</f>
        <v/>
      </c>
      <c r="I111" s="21">
        <f>I110-(H110+I87-I91)</f>
        <v/>
      </c>
      <c r="J111" s="21">
        <f>J110-(I110+J87-J91)</f>
        <v/>
      </c>
      <c r="K111" s="21">
        <f>K110-(J110+K87-K91)</f>
        <v/>
      </c>
      <c r="L111" s="21">
        <f>L110-(K110+L87-L91)</f>
        <v/>
      </c>
      <c r="M111" s="21">
        <f>M110-(L110+M87-M91)</f>
        <v/>
      </c>
      <c r="N111" s="10" t="inlineStr">
        <is>
          <t>$M</t>
        </is>
      </c>
      <c r="O111" s="10" t="inlineStr"/>
    </row>
    <row r="112">
      <c r="B112" s="7" t="inlineStr">
        <is>
          <t>Balance check: Total assets - Total liabilities - Equity  (= 0)</t>
        </is>
      </c>
      <c r="C112" s="21">
        <f>C106-C109-C110</f>
        <v/>
      </c>
      <c r="D112" s="21">
        <f>D106-D109-D110</f>
        <v/>
      </c>
      <c r="E112" s="21">
        <f>E106-E109-E110</f>
        <v/>
      </c>
      <c r="F112" s="21">
        <f>F106-F109-F110</f>
        <v/>
      </c>
      <c r="G112" s="21">
        <f>G106-G109-G110</f>
        <v/>
      </c>
      <c r="H112" s="21">
        <f>H106-H109-H110</f>
        <v/>
      </c>
      <c r="I112" s="21">
        <f>I106-I109-I110</f>
        <v/>
      </c>
      <c r="J112" s="21">
        <f>J106-J109-J110</f>
        <v/>
      </c>
      <c r="K112" s="21">
        <f>K106-K109-K110</f>
        <v/>
      </c>
      <c r="L112" s="21">
        <f>L106-L109-L110</f>
        <v/>
      </c>
      <c r="M112" s="21">
        <f>M106-M109-M110</f>
        <v/>
      </c>
      <c r="N112" s="10" t="inlineStr">
        <is>
          <t>$M</t>
        </is>
      </c>
      <c r="O112" s="10" t="inlineStr"/>
    </row>
  </sheetData>
  <pageMargins left="0.75" right="0.75" top="1" bottom="1" header="0.5" footer="0.5"/>
  <pageSetup orientation="landscape" paperSize="1"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O112"/>
  <sheetViews>
    <sheetView zoomScale="9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66" customWidth="1" min="2" max="2"/>
    <col width="17"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7" customWidth="1" min="14" max="14"/>
    <col width="60" customWidth="1" min="15" max="15"/>
  </cols>
  <sheetData>
    <row r="1">
      <c r="A1" s="1" t="inlineStr">
        <is>
          <t>Signet Jewelers - Baseline Value-Based ERM Model - Segment: Other / Corporate</t>
        </is>
      </c>
    </row>
    <row r="2">
      <c r="A2" s="10" t="inlineStr">
        <is>
          <t>'Other' reportable segment (rough-diamond purchasing and polishing subsidiaries selling to third parties) plus corporate and unallocated costs. No stores, no e-commerce, no services: those rows are kept at zero.  Units: $ millions (one decimal) unless stated; fiscal years end about January 31 (FY2026 = year ended Jan 31, 2026). Blue = hard-coded input, black = formula, green = link to another tab.</t>
        </is>
      </c>
    </row>
    <row r="3">
      <c r="A3" s="11" t="inlineStr">
        <is>
          <t>Section</t>
        </is>
      </c>
      <c r="B3" s="11" t="inlineStr">
        <is>
          <t>Line item</t>
        </is>
      </c>
      <c r="C3" s="15" t="inlineStr">
        <is>
          <t>Last Yr (FY2026A)</t>
        </is>
      </c>
      <c r="D3" s="15" t="inlineStr">
        <is>
          <t>FY2027</t>
        </is>
      </c>
      <c r="E3" s="15" t="inlineStr">
        <is>
          <t>FY2028</t>
        </is>
      </c>
      <c r="F3" s="15" t="inlineStr">
        <is>
          <t>FY2029</t>
        </is>
      </c>
      <c r="G3" s="15" t="inlineStr">
        <is>
          <t>FY2030</t>
        </is>
      </c>
      <c r="H3" s="15" t="inlineStr">
        <is>
          <t>FY2031</t>
        </is>
      </c>
      <c r="I3" s="15" t="inlineStr">
        <is>
          <t>FY2032</t>
        </is>
      </c>
      <c r="J3" s="15" t="inlineStr">
        <is>
          <t>FY2033</t>
        </is>
      </c>
      <c r="K3" s="15" t="inlineStr">
        <is>
          <t>FY2034</t>
        </is>
      </c>
      <c r="L3" s="15" t="inlineStr">
        <is>
          <t>FY2035</t>
        </is>
      </c>
      <c r="M3" s="15" t="inlineStr">
        <is>
          <t>FY2036</t>
        </is>
      </c>
      <c r="N3" s="11" t="inlineStr">
        <is>
          <t>Units</t>
        </is>
      </c>
      <c r="O3" s="11" t="inlineStr">
        <is>
          <t>Notes</t>
        </is>
      </c>
    </row>
    <row r="4"/>
    <row r="5">
      <c r="A5" s="12" t="inlineStr">
        <is>
          <t>BASELINE ASSUMPTIONS (blue = hard-coded input; black '=previous cell' carries an assumption forward)</t>
        </is>
      </c>
      <c r="B5" s="13" t="n"/>
      <c r="C5" s="13" t="n"/>
      <c r="D5" s="13" t="n"/>
      <c r="E5" s="13" t="n"/>
      <c r="F5" s="13" t="n"/>
      <c r="G5" s="13" t="n"/>
      <c r="H5" s="13" t="n"/>
      <c r="I5" s="13" t="n"/>
      <c r="J5" s="13" t="n"/>
      <c r="K5" s="13" t="n"/>
      <c r="L5" s="13" t="n"/>
      <c r="M5" s="13" t="n"/>
      <c r="N5" s="13" t="n"/>
      <c r="O5" s="13" t="n"/>
    </row>
    <row r="6">
      <c r="A6" s="10" t="inlineStr">
        <is>
          <t>Baseline</t>
        </is>
      </c>
      <c r="B6" s="7" t="inlineStr">
        <is>
          <t>Gross store openings (number of stores)</t>
        </is>
      </c>
      <c r="C6" s="16">
        <f>C59</f>
        <v/>
      </c>
      <c r="D6" s="17" t="n">
        <v>0</v>
      </c>
      <c r="E6" s="16">
        <f>D6</f>
        <v/>
      </c>
      <c r="F6" s="16">
        <f>E6</f>
        <v/>
      </c>
      <c r="G6" s="16">
        <f>F6</f>
        <v/>
      </c>
      <c r="H6" s="16">
        <f>G6</f>
        <v/>
      </c>
      <c r="I6" s="16">
        <f>H6</f>
        <v/>
      </c>
      <c r="J6" s="16">
        <f>I6</f>
        <v/>
      </c>
      <c r="K6" s="16">
        <f>J6</f>
        <v/>
      </c>
      <c r="L6" s="16">
        <f>K6</f>
        <v/>
      </c>
      <c r="M6" s="16">
        <f>L6</f>
        <v/>
      </c>
      <c r="N6" s="10" t="inlineStr">
        <is>
          <t># stores</t>
        </is>
      </c>
      <c r="O6" s="10" t="inlineStr">
        <is>
          <t>Gross openings; net of closures drives average stores.</t>
        </is>
      </c>
    </row>
    <row r="7">
      <c r="A7" s="10" t="inlineStr">
        <is>
          <t>Baseline</t>
        </is>
      </c>
      <c r="B7" s="7" t="inlineStr">
        <is>
          <t>Store closures (number of stores)</t>
        </is>
      </c>
      <c r="C7" s="16">
        <f>C60</f>
        <v/>
      </c>
      <c r="D7" s="17" t="n">
        <v>0</v>
      </c>
      <c r="E7" s="16">
        <f>D7</f>
        <v/>
      </c>
      <c r="F7" s="16">
        <f>E7</f>
        <v/>
      </c>
      <c r="G7" s="16">
        <f>F7</f>
        <v/>
      </c>
      <c r="H7" s="16">
        <f>G7</f>
        <v/>
      </c>
      <c r="I7" s="16">
        <f>H7</f>
        <v/>
      </c>
      <c r="J7" s="16">
        <f>I7</f>
        <v/>
      </c>
      <c r="K7" s="16">
        <f>J7</f>
        <v/>
      </c>
      <c r="L7" s="16">
        <f>K7</f>
        <v/>
      </c>
      <c r="M7" s="16">
        <f>L7</f>
        <v/>
      </c>
      <c r="N7" s="10" t="inlineStr">
        <is>
          <t># stores</t>
        </is>
      </c>
      <c r="O7" s="10" t="inlineStr">
        <is>
          <t>Fleet optimisation: mall closures / off-mall repositioning (net sq ft 'low-single-digit decline' guidance).</t>
        </is>
      </c>
    </row>
    <row r="8">
      <c r="A8" s="10" t="inlineStr">
        <is>
          <t>Baseline</t>
        </is>
      </c>
      <c r="B8" s="7" t="inlineStr">
        <is>
          <t>Same-store sales growth (applied to merchandise sales per average store)</t>
        </is>
      </c>
      <c r="D8" s="18" t="n">
        <v>0</v>
      </c>
      <c r="E8" s="19">
        <f>D8</f>
        <v/>
      </c>
      <c r="F8" s="19">
        <f>E8</f>
        <v/>
      </c>
      <c r="G8" s="19">
        <f>F8</f>
        <v/>
      </c>
      <c r="H8" s="19">
        <f>G8</f>
        <v/>
      </c>
      <c r="I8" s="19">
        <f>H8</f>
        <v/>
      </c>
      <c r="J8" s="19">
        <f>I8</f>
        <v/>
      </c>
      <c r="K8" s="19">
        <f>J8</f>
        <v/>
      </c>
      <c r="L8" s="19">
        <f>K8</f>
        <v/>
      </c>
      <c r="M8" s="19">
        <f>L8</f>
        <v/>
      </c>
      <c r="N8" s="10" t="inlineStr">
        <is>
          <t>% p.a.</t>
        </is>
      </c>
      <c r="O8" s="10" t="inlineStr">
        <is>
          <t>Price/mix + traffic growth applied to sales per average store.</t>
        </is>
      </c>
    </row>
    <row r="9">
      <c r="A9" s="10" t="inlineStr">
        <is>
          <t>Baseline</t>
        </is>
      </c>
      <c r="B9" s="7" t="inlineStr">
        <is>
          <t>E-commerce merchandise sales growth</t>
        </is>
      </c>
      <c r="D9" s="18" t="n">
        <v>0</v>
      </c>
      <c r="E9" s="19">
        <f>D9</f>
        <v/>
      </c>
      <c r="F9" s="19">
        <f>E9</f>
        <v/>
      </c>
      <c r="G9" s="19">
        <f>F9</f>
        <v/>
      </c>
      <c r="H9" s="19">
        <f>G9</f>
        <v/>
      </c>
      <c r="I9" s="19">
        <f>H9</f>
        <v/>
      </c>
      <c r="J9" s="19">
        <f>I9</f>
        <v/>
      </c>
      <c r="K9" s="19">
        <f>J9</f>
        <v/>
      </c>
      <c r="L9" s="19">
        <f>K9</f>
        <v/>
      </c>
      <c r="M9" s="19">
        <f>L9</f>
        <v/>
      </c>
      <c r="N9" s="10" t="inlineStr">
        <is>
          <t>% p.a.</t>
        </is>
      </c>
      <c r="O9" s="10" t="inlineStr">
        <is>
          <t>Includes digital-native brands (NA) and store-brand online sales.</t>
        </is>
      </c>
    </row>
    <row r="10">
      <c r="A10" s="10" t="inlineStr">
        <is>
          <t>Baseline</t>
        </is>
      </c>
      <c r="B10" s="7" t="inlineStr">
        <is>
          <t>Services attach rate (services revenue as % of merchandise sales)</t>
        </is>
      </c>
      <c r="C10" s="19">
        <f>IF(C66+C67=0,0,C68/(C66+C67))</f>
        <v/>
      </c>
      <c r="D10" s="18" t="n">
        <v>0</v>
      </c>
      <c r="E10" s="19">
        <f>D10</f>
        <v/>
      </c>
      <c r="F10" s="19">
        <f>E10</f>
        <v/>
      </c>
      <c r="G10" s="19">
        <f>F10</f>
        <v/>
      </c>
      <c r="H10" s="19">
        <f>G10</f>
        <v/>
      </c>
      <c r="I10" s="19">
        <f>H10</f>
        <v/>
      </c>
      <c r="J10" s="19">
        <f>I10</f>
        <v/>
      </c>
      <c r="K10" s="19">
        <f>J10</f>
        <v/>
      </c>
      <c r="L10" s="19">
        <f>K10</f>
        <v/>
      </c>
      <c r="M10" s="19">
        <f>L10</f>
        <v/>
      </c>
      <c r="N10" s="10" t="inlineStr">
        <is>
          <t>% of merch.</t>
        </is>
      </c>
      <c r="O10" s="10" t="inlineStr">
        <is>
          <t>Extended service plans, repairs, custom design.</t>
        </is>
      </c>
    </row>
    <row r="11">
      <c r="A11" s="10" t="inlineStr">
        <is>
          <t>Baseline</t>
        </is>
      </c>
      <c r="B11" s="7" t="inlineStr">
        <is>
          <t>Other (non-retail / diamond sourcing) revenue growth</t>
        </is>
      </c>
      <c r="D11" s="18" t="n">
        <v>0.02</v>
      </c>
      <c r="E11" s="19">
        <f>D11</f>
        <v/>
      </c>
      <c r="F11" s="19">
        <f>E11</f>
        <v/>
      </c>
      <c r="G11" s="19">
        <f>F11</f>
        <v/>
      </c>
      <c r="H11" s="19">
        <f>G11</f>
        <v/>
      </c>
      <c r="I11" s="19">
        <f>H11</f>
        <v/>
      </c>
      <c r="J11" s="19">
        <f>I11</f>
        <v/>
      </c>
      <c r="K11" s="19">
        <f>J11</f>
        <v/>
      </c>
      <c r="L11" s="19">
        <f>K11</f>
        <v/>
      </c>
      <c r="M11" s="19">
        <f>L11</f>
        <v/>
      </c>
      <c r="N11" s="10" t="inlineStr">
        <is>
          <t>% p.a.</t>
        </is>
      </c>
      <c r="O11" s="10" t="inlineStr">
        <is>
          <t>Only the diamond-sourcing sales in OTHER are non-zero.</t>
        </is>
      </c>
    </row>
    <row r="12">
      <c r="A12" s="10" t="inlineStr">
        <is>
          <t>Baseline</t>
        </is>
      </c>
      <c r="B12" s="7" t="inlineStr">
        <is>
          <t>Cost of sales (incl. store occupancy) as % of total sales</t>
        </is>
      </c>
      <c r="C12" s="19">
        <f>IF(C70=0,0,C72/C70)</f>
        <v/>
      </c>
      <c r="D12" s="18" t="n">
        <v>0.92</v>
      </c>
      <c r="E12" s="19">
        <f>D12</f>
        <v/>
      </c>
      <c r="F12" s="19">
        <f>E12</f>
        <v/>
      </c>
      <c r="G12" s="19">
        <f>F12</f>
        <v/>
      </c>
      <c r="H12" s="19">
        <f>G12</f>
        <v/>
      </c>
      <c r="I12" s="19">
        <f>H12</f>
        <v/>
      </c>
      <c r="J12" s="19">
        <f>I12</f>
        <v/>
      </c>
      <c r="K12" s="19">
        <f>J12</f>
        <v/>
      </c>
      <c r="L12" s="19">
        <f>K12</f>
        <v/>
      </c>
      <c r="M12" s="19">
        <f>L12</f>
        <v/>
      </c>
      <c r="N12" s="10" t="inlineStr">
        <is>
          <t>% of sales</t>
        </is>
      </c>
      <c r="O12" s="10" t="inlineStr">
        <is>
          <t>Signet books store occupancy in cost of sales; 1 - this = gross margin %.</t>
        </is>
      </c>
    </row>
    <row r="13">
      <c r="A13" s="10" t="inlineStr">
        <is>
          <t>Baseline</t>
        </is>
      </c>
      <c r="B13" s="7" t="inlineStr">
        <is>
          <t>Variable SG&amp;A (store payroll, advertising, credit) as % of total sales</t>
        </is>
      </c>
      <c r="C13" s="19">
        <f>IF(C70=0,0,C75/C70)</f>
        <v/>
      </c>
      <c r="D13" s="18" t="n">
        <v>0</v>
      </c>
      <c r="E13" s="19">
        <f>D13</f>
        <v/>
      </c>
      <c r="F13" s="19">
        <f>E13</f>
        <v/>
      </c>
      <c r="G13" s="19">
        <f>F13</f>
        <v/>
      </c>
      <c r="H13" s="19">
        <f>G13</f>
        <v/>
      </c>
      <c r="I13" s="19">
        <f>H13</f>
        <v/>
      </c>
      <c r="J13" s="19">
        <f>I13</f>
        <v/>
      </c>
      <c r="K13" s="19">
        <f>J13</f>
        <v/>
      </c>
      <c r="L13" s="19">
        <f>K13</f>
        <v/>
      </c>
      <c r="M13" s="19">
        <f>L13</f>
        <v/>
      </c>
      <c r="N13" s="10" t="inlineStr">
        <is>
          <t>% of sales</t>
        </is>
      </c>
      <c r="O13" s="10" t="inlineStr">
        <is>
          <t>Marginal expenses that move with sales.</t>
        </is>
      </c>
    </row>
    <row r="14">
      <c r="A14" s="10" t="inlineStr">
        <is>
          <t>Baseline</t>
        </is>
      </c>
      <c r="B14" s="7" t="inlineStr">
        <is>
          <t>Fixed SG&amp;A inflation (corporate, support, fixed store overhead)</t>
        </is>
      </c>
      <c r="D14" s="18" t="n">
        <v>0.025</v>
      </c>
      <c r="E14" s="18" t="n">
        <v>0.023</v>
      </c>
      <c r="F14" s="18" t="n">
        <v>0.021</v>
      </c>
      <c r="G14" s="18" t="n">
        <v>0.02</v>
      </c>
      <c r="H14" s="19">
        <f>G14</f>
        <v/>
      </c>
      <c r="I14" s="19">
        <f>H14</f>
        <v/>
      </c>
      <c r="J14" s="19">
        <f>I14</f>
        <v/>
      </c>
      <c r="K14" s="19">
        <f>J14</f>
        <v/>
      </c>
      <c r="L14" s="19">
        <f>K14</f>
        <v/>
      </c>
      <c r="M14" s="19">
        <f>L14</f>
        <v/>
      </c>
      <c r="N14" s="10" t="inlineStr">
        <is>
          <t>% p.a.</t>
        </is>
      </c>
      <c r="O14" s="10" t="inlineStr">
        <is>
          <t>Fixed expenses grow with inflation (Session 6 guidance).</t>
        </is>
      </c>
    </row>
    <row r="15">
      <c r="A15" s="10" t="inlineStr">
        <is>
          <t>Baseline</t>
        </is>
      </c>
      <c r="B15" s="7" t="inlineStr">
        <is>
          <t>Cost-savings initiatives (incremental run-rate cut to fixed SG&amp;A)</t>
        </is>
      </c>
      <c r="D15" s="20" t="n">
        <v>0</v>
      </c>
      <c r="E15" s="21">
        <f>D15</f>
        <v/>
      </c>
      <c r="F15" s="21">
        <f>E15</f>
        <v/>
      </c>
      <c r="G15" s="21">
        <f>F15</f>
        <v/>
      </c>
      <c r="H15" s="21">
        <f>G15</f>
        <v/>
      </c>
      <c r="I15" s="21">
        <f>H15</f>
        <v/>
      </c>
      <c r="J15" s="21">
        <f>I15</f>
        <v/>
      </c>
      <c r="K15" s="21">
        <f>J15</f>
        <v/>
      </c>
      <c r="L15" s="21">
        <f>K15</f>
        <v/>
      </c>
      <c r="M15" s="21">
        <f>L15</f>
        <v/>
      </c>
      <c r="N15" s="10" t="inlineStr">
        <is>
          <t>$M</t>
        </is>
      </c>
      <c r="O15" s="10" t="inlineStr">
        <is>
          <t>Zero: no quantified cost-savings programme disclosed. Row kept for shocks.</t>
        </is>
      </c>
    </row>
    <row r="16">
      <c r="A16" s="10" t="inlineStr">
        <is>
          <t>Baseline</t>
        </is>
      </c>
      <c r="B16" s="7" t="inlineStr">
        <is>
          <t>Other operating income / (expense), one-time items (+ = income)</t>
        </is>
      </c>
      <c r="C16" s="21">
        <f>C79</f>
        <v/>
      </c>
      <c r="D16" s="20" t="n">
        <v>0</v>
      </c>
      <c r="E16" s="21">
        <f>D16</f>
        <v/>
      </c>
      <c r="F16" s="21">
        <f>E16</f>
        <v/>
      </c>
      <c r="G16" s="21">
        <f>F16</f>
        <v/>
      </c>
      <c r="H16" s="21">
        <f>G16</f>
        <v/>
      </c>
      <c r="I16" s="21">
        <f>H16</f>
        <v/>
      </c>
      <c r="J16" s="21">
        <f>I16</f>
        <v/>
      </c>
      <c r="K16" s="21">
        <f>J16</f>
        <v/>
      </c>
      <c r="L16" s="21">
        <f>K16</f>
        <v/>
      </c>
      <c r="M16" s="21">
        <f>L16</f>
        <v/>
      </c>
      <c r="N16" s="10" t="inlineStr">
        <is>
          <t>$M</t>
        </is>
      </c>
      <c r="O16" s="10" t="inlineStr">
        <is>
          <t>FY2027 NA: +30 tariff refunds expected by management; impairments/restructuring assumed nil going forward.</t>
        </is>
      </c>
    </row>
    <row r="17">
      <c r="A17" s="10" t="inlineStr">
        <is>
          <t>Baseline</t>
        </is>
      </c>
      <c r="B17" s="7" t="inlineStr">
        <is>
          <t>Net yield on invested assets (cash &amp; equivalents)</t>
        </is>
      </c>
      <c r="D17" s="18" t="n">
        <v>0.007</v>
      </c>
      <c r="E17" s="19">
        <f>D17</f>
        <v/>
      </c>
      <c r="F17" s="19">
        <f>E17</f>
        <v/>
      </c>
      <c r="G17" s="19">
        <f>F17</f>
        <v/>
      </c>
      <c r="H17" s="19">
        <f>G17</f>
        <v/>
      </c>
      <c r="I17" s="19">
        <f>H17</f>
        <v/>
      </c>
      <c r="J17" s="19">
        <f>I17</f>
        <v/>
      </c>
      <c r="K17" s="19">
        <f>J17</f>
        <v/>
      </c>
      <c r="L17" s="19">
        <f>K17</f>
        <v/>
      </c>
      <c r="M17" s="19">
        <f>L17</f>
        <v/>
      </c>
      <c r="N17" s="10" t="inlineStr">
        <is>
          <t>% of prior-yr cash</t>
        </is>
      </c>
      <c r="O17" s="10" t="inlineStr">
        <is>
          <t>Calibrated: reported net interest income was only 4.0 (FY26) and 9.8 (FY25) on 600-900 of cash.</t>
        </is>
      </c>
    </row>
    <row r="18">
      <c r="A18" s="10" t="inlineStr">
        <is>
          <t>Baseline</t>
        </is>
      </c>
      <c r="B18" s="7" t="inlineStr">
        <is>
          <t>Interest rate on debt (ABL revolver; debt is zero in baseline)</t>
        </is>
      </c>
      <c r="D18" s="18" t="n">
        <v>0.065</v>
      </c>
      <c r="E18" s="19">
        <f>D18</f>
        <v/>
      </c>
      <c r="F18" s="19">
        <f>E18</f>
        <v/>
      </c>
      <c r="G18" s="19">
        <f>F18</f>
        <v/>
      </c>
      <c r="H18" s="19">
        <f>G18</f>
        <v/>
      </c>
      <c r="I18" s="19">
        <f>H18</f>
        <v/>
      </c>
      <c r="J18" s="19">
        <f>I18</f>
        <v/>
      </c>
      <c r="K18" s="19">
        <f>J18</f>
        <v/>
      </c>
      <c r="L18" s="19">
        <f>K18</f>
        <v/>
      </c>
      <c r="M18" s="19">
        <f>L18</f>
        <v/>
      </c>
      <c r="N18" s="10" t="inlineStr">
        <is>
          <t>% of prior-yr debt</t>
        </is>
      </c>
      <c r="O18" s="10" t="inlineStr">
        <is>
          <t>No funded debt at FY2026A; rate kept for interest-rate / liquidity shocks.</t>
        </is>
      </c>
    </row>
    <row r="19">
      <c r="A19" s="10" t="inlineStr">
        <is>
          <t>Baseline</t>
        </is>
      </c>
      <c r="B19" s="7" t="inlineStr">
        <is>
          <t>Effective income tax rate</t>
        </is>
      </c>
      <c r="C19" s="19">
        <f>IF(C84=0,0,C86/C84)</f>
        <v/>
      </c>
      <c r="D19" s="18" t="n">
        <v>0.24</v>
      </c>
      <c r="E19" s="19">
        <f>D19</f>
        <v/>
      </c>
      <c r="F19" s="19">
        <f>E19</f>
        <v/>
      </c>
      <c r="G19" s="19">
        <f>F19</f>
        <v/>
      </c>
      <c r="H19" s="19">
        <f>G19</f>
        <v/>
      </c>
      <c r="I19" s="19">
        <f>H19</f>
        <v/>
      </c>
      <c r="J19" s="19">
        <f>I19</f>
        <v/>
      </c>
      <c r="K19" s="19">
        <f>J19</f>
        <v/>
      </c>
      <c r="L19" s="19">
        <f>K19</f>
        <v/>
      </c>
      <c r="M19" s="19">
        <f>L19</f>
        <v/>
      </c>
      <c r="N19" s="10" t="inlineStr">
        <is>
          <t>% of pre-tax</t>
        </is>
      </c>
      <c r="O19" s="10" t="inlineStr">
        <is>
          <t>FY2027 guidance 23-25% (NA/OTHER 24%); UK statutory 25% for INTL.</t>
        </is>
      </c>
    </row>
    <row r="20">
      <c r="A20" s="10" t="inlineStr">
        <is>
          <t>Baseline</t>
        </is>
      </c>
      <c r="B20" s="7" t="inlineStr">
        <is>
          <t>Discount rate (cost of equity, CAPM) - single rate for the segment</t>
        </is>
      </c>
      <c r="D20" s="18" t="n">
        <v>0.105</v>
      </c>
      <c r="N20" s="10" t="inlineStr">
        <is>
          <t>% p.a.</t>
        </is>
      </c>
      <c r="O20" s="10" t="inlineStr">
        <is>
          <t>CAPM: 5.24% + 1.25 x 4.20% = 10.5%; INTL +1.5pp premium. Single rate in the FY2027 column (as in Pear).</t>
        </is>
      </c>
    </row>
    <row r="22">
      <c r="A22" s="12" t="inlineStr">
        <is>
          <t>SHOCK TO ASSUMPTIONS - additive shocks, all ZERO in the baseline (for use in Assignment 3(d))</t>
        </is>
      </c>
      <c r="B22" s="13" t="n"/>
      <c r="C22" s="13" t="n"/>
      <c r="D22" s="13" t="n"/>
      <c r="E22" s="13" t="n"/>
      <c r="F22" s="13" t="n"/>
      <c r="G22" s="13" t="n"/>
      <c r="H22" s="13" t="n"/>
      <c r="I22" s="13" t="n"/>
      <c r="J22" s="13" t="n"/>
      <c r="K22" s="13" t="n"/>
      <c r="L22" s="13" t="n"/>
      <c r="M22" s="13" t="n"/>
      <c r="N22" s="13" t="n"/>
      <c r="O22" s="13" t="n"/>
    </row>
    <row r="23">
      <c r="A23" s="10" t="inlineStr">
        <is>
          <t>Shock</t>
        </is>
      </c>
      <c r="B23" s="7" t="inlineStr">
        <is>
          <t>Shock: Gross store openings (number of stores)</t>
        </is>
      </c>
      <c r="D23" s="17" t="n">
        <v>0</v>
      </c>
      <c r="E23" s="17" t="n">
        <v>0</v>
      </c>
      <c r="F23" s="17" t="n">
        <v>0</v>
      </c>
      <c r="G23" s="17" t="n">
        <v>0</v>
      </c>
      <c r="H23" s="17" t="n">
        <v>0</v>
      </c>
      <c r="I23" s="17" t="n">
        <v>0</v>
      </c>
      <c r="J23" s="17" t="n">
        <v>0</v>
      </c>
      <c r="K23" s="17" t="n">
        <v>0</v>
      </c>
      <c r="L23" s="17" t="n">
        <v>0</v>
      </c>
      <c r="M23" s="17" t="n">
        <v>0</v>
      </c>
      <c r="N23" s="10" t="inlineStr">
        <is>
          <t># stores</t>
        </is>
      </c>
    </row>
    <row r="24">
      <c r="A24" s="10" t="inlineStr">
        <is>
          <t>Shock</t>
        </is>
      </c>
      <c r="B24" s="7" t="inlineStr">
        <is>
          <t>Shock: Store closures (number of stores)</t>
        </is>
      </c>
      <c r="D24" s="17" t="n">
        <v>0</v>
      </c>
      <c r="E24" s="17" t="n">
        <v>0</v>
      </c>
      <c r="F24" s="17" t="n">
        <v>0</v>
      </c>
      <c r="G24" s="17" t="n">
        <v>0</v>
      </c>
      <c r="H24" s="17" t="n">
        <v>0</v>
      </c>
      <c r="I24" s="17" t="n">
        <v>0</v>
      </c>
      <c r="J24" s="17" t="n">
        <v>0</v>
      </c>
      <c r="K24" s="17" t="n">
        <v>0</v>
      </c>
      <c r="L24" s="17" t="n">
        <v>0</v>
      </c>
      <c r="M24" s="17" t="n">
        <v>0</v>
      </c>
      <c r="N24" s="10" t="inlineStr">
        <is>
          <t># stores</t>
        </is>
      </c>
    </row>
    <row r="25">
      <c r="A25" s="10" t="inlineStr">
        <is>
          <t>Shock</t>
        </is>
      </c>
      <c r="B25" s="7" t="inlineStr">
        <is>
          <t>Shock: Same-store sales growth (applied to merchandise sales per average store)</t>
        </is>
      </c>
      <c r="D25" s="18" t="n">
        <v>0</v>
      </c>
      <c r="E25" s="18" t="n">
        <v>0</v>
      </c>
      <c r="F25" s="18" t="n">
        <v>0</v>
      </c>
      <c r="G25" s="18" t="n">
        <v>0</v>
      </c>
      <c r="H25" s="18" t="n">
        <v>0</v>
      </c>
      <c r="I25" s="18" t="n">
        <v>0</v>
      </c>
      <c r="J25" s="18" t="n">
        <v>0</v>
      </c>
      <c r="K25" s="18" t="n">
        <v>0</v>
      </c>
      <c r="L25" s="18" t="n">
        <v>0</v>
      </c>
      <c r="M25" s="18" t="n">
        <v>0</v>
      </c>
      <c r="N25" s="10" t="inlineStr">
        <is>
          <t>% p.a.</t>
        </is>
      </c>
    </row>
    <row r="26">
      <c r="A26" s="10" t="inlineStr">
        <is>
          <t>Shock</t>
        </is>
      </c>
      <c r="B26" s="7" t="inlineStr">
        <is>
          <t>Shock: E-commerce merchandise sales growth</t>
        </is>
      </c>
      <c r="D26" s="18" t="n">
        <v>0</v>
      </c>
      <c r="E26" s="18" t="n">
        <v>0</v>
      </c>
      <c r="F26" s="18" t="n">
        <v>0</v>
      </c>
      <c r="G26" s="18" t="n">
        <v>0</v>
      </c>
      <c r="H26" s="18" t="n">
        <v>0</v>
      </c>
      <c r="I26" s="18" t="n">
        <v>0</v>
      </c>
      <c r="J26" s="18" t="n">
        <v>0</v>
      </c>
      <c r="K26" s="18" t="n">
        <v>0</v>
      </c>
      <c r="L26" s="18" t="n">
        <v>0</v>
      </c>
      <c r="M26" s="18" t="n">
        <v>0</v>
      </c>
      <c r="N26" s="10" t="inlineStr">
        <is>
          <t>% p.a.</t>
        </is>
      </c>
    </row>
    <row r="27">
      <c r="A27" s="10" t="inlineStr">
        <is>
          <t>Shock</t>
        </is>
      </c>
      <c r="B27" s="7" t="inlineStr">
        <is>
          <t>Shock: Services attach rate (services revenue as % of merchandise sales)</t>
        </is>
      </c>
      <c r="D27" s="18" t="n">
        <v>0</v>
      </c>
      <c r="E27" s="18" t="n">
        <v>0</v>
      </c>
      <c r="F27" s="18" t="n">
        <v>0</v>
      </c>
      <c r="G27" s="18" t="n">
        <v>0</v>
      </c>
      <c r="H27" s="18" t="n">
        <v>0</v>
      </c>
      <c r="I27" s="18" t="n">
        <v>0</v>
      </c>
      <c r="J27" s="18" t="n">
        <v>0</v>
      </c>
      <c r="K27" s="18" t="n">
        <v>0</v>
      </c>
      <c r="L27" s="18" t="n">
        <v>0</v>
      </c>
      <c r="M27" s="18" t="n">
        <v>0</v>
      </c>
      <c r="N27" s="10" t="inlineStr">
        <is>
          <t>% of merch.</t>
        </is>
      </c>
    </row>
    <row r="28">
      <c r="A28" s="10" t="inlineStr">
        <is>
          <t>Shock</t>
        </is>
      </c>
      <c r="B28" s="7" t="inlineStr">
        <is>
          <t>Shock: Other (non-retail / diamond sourcing) revenue growth</t>
        </is>
      </c>
      <c r="D28" s="18" t="n">
        <v>0</v>
      </c>
      <c r="E28" s="18" t="n">
        <v>0</v>
      </c>
      <c r="F28" s="18" t="n">
        <v>0</v>
      </c>
      <c r="G28" s="18" t="n">
        <v>0</v>
      </c>
      <c r="H28" s="18" t="n">
        <v>0</v>
      </c>
      <c r="I28" s="18" t="n">
        <v>0</v>
      </c>
      <c r="J28" s="18" t="n">
        <v>0</v>
      </c>
      <c r="K28" s="18" t="n">
        <v>0</v>
      </c>
      <c r="L28" s="18" t="n">
        <v>0</v>
      </c>
      <c r="M28" s="18" t="n">
        <v>0</v>
      </c>
      <c r="N28" s="10" t="inlineStr">
        <is>
          <t>% p.a.</t>
        </is>
      </c>
    </row>
    <row r="29">
      <c r="A29" s="10" t="inlineStr">
        <is>
          <t>Shock</t>
        </is>
      </c>
      <c r="B29" s="7" t="inlineStr">
        <is>
          <t>Shock: Cost of sales (incl. store occupancy) as % of total sales</t>
        </is>
      </c>
      <c r="D29" s="18" t="n">
        <v>0</v>
      </c>
      <c r="E29" s="18" t="n">
        <v>0</v>
      </c>
      <c r="F29" s="18" t="n">
        <v>0</v>
      </c>
      <c r="G29" s="18" t="n">
        <v>0</v>
      </c>
      <c r="H29" s="18" t="n">
        <v>0</v>
      </c>
      <c r="I29" s="18" t="n">
        <v>0</v>
      </c>
      <c r="J29" s="18" t="n">
        <v>0</v>
      </c>
      <c r="K29" s="18" t="n">
        <v>0</v>
      </c>
      <c r="L29" s="18" t="n">
        <v>0</v>
      </c>
      <c r="M29" s="18" t="n">
        <v>0</v>
      </c>
      <c r="N29" s="10" t="inlineStr">
        <is>
          <t>% of sales</t>
        </is>
      </c>
    </row>
    <row r="30">
      <c r="A30" s="10" t="inlineStr">
        <is>
          <t>Shock</t>
        </is>
      </c>
      <c r="B30" s="7" t="inlineStr">
        <is>
          <t>Shock: Variable SG&amp;A (store payroll, advertising, credit) as % of total sales</t>
        </is>
      </c>
      <c r="D30" s="18" t="n">
        <v>0</v>
      </c>
      <c r="E30" s="18" t="n">
        <v>0</v>
      </c>
      <c r="F30" s="18" t="n">
        <v>0</v>
      </c>
      <c r="G30" s="18" t="n">
        <v>0</v>
      </c>
      <c r="H30" s="18" t="n">
        <v>0</v>
      </c>
      <c r="I30" s="18" t="n">
        <v>0</v>
      </c>
      <c r="J30" s="18" t="n">
        <v>0</v>
      </c>
      <c r="K30" s="18" t="n">
        <v>0</v>
      </c>
      <c r="L30" s="18" t="n">
        <v>0</v>
      </c>
      <c r="M30" s="18" t="n">
        <v>0</v>
      </c>
      <c r="N30" s="10" t="inlineStr">
        <is>
          <t>% of sales</t>
        </is>
      </c>
    </row>
    <row r="31">
      <c r="A31" s="10" t="inlineStr">
        <is>
          <t>Shock</t>
        </is>
      </c>
      <c r="B31" s="7" t="inlineStr">
        <is>
          <t>Shock: Fixed SG&amp;A inflation (corporate, support, fixed store overhead)</t>
        </is>
      </c>
      <c r="D31" s="18" t="n">
        <v>0</v>
      </c>
      <c r="E31" s="18" t="n">
        <v>0</v>
      </c>
      <c r="F31" s="18" t="n">
        <v>0</v>
      </c>
      <c r="G31" s="18" t="n">
        <v>0</v>
      </c>
      <c r="H31" s="18" t="n">
        <v>0</v>
      </c>
      <c r="I31" s="18" t="n">
        <v>0</v>
      </c>
      <c r="J31" s="18" t="n">
        <v>0</v>
      </c>
      <c r="K31" s="18" t="n">
        <v>0</v>
      </c>
      <c r="L31" s="18" t="n">
        <v>0</v>
      </c>
      <c r="M31" s="18" t="n">
        <v>0</v>
      </c>
      <c r="N31" s="10" t="inlineStr">
        <is>
          <t>% p.a.</t>
        </is>
      </c>
    </row>
    <row r="32">
      <c r="A32" s="10" t="inlineStr">
        <is>
          <t>Shock</t>
        </is>
      </c>
      <c r="B32" s="7" t="inlineStr">
        <is>
          <t>Shock: Cost-savings initiatives (incremental run-rate cut to fixed SG&amp;A)</t>
        </is>
      </c>
      <c r="D32" s="20" t="n">
        <v>0</v>
      </c>
      <c r="E32" s="20" t="n">
        <v>0</v>
      </c>
      <c r="F32" s="20" t="n">
        <v>0</v>
      </c>
      <c r="G32" s="20" t="n">
        <v>0</v>
      </c>
      <c r="H32" s="20" t="n">
        <v>0</v>
      </c>
      <c r="I32" s="20" t="n">
        <v>0</v>
      </c>
      <c r="J32" s="20" t="n">
        <v>0</v>
      </c>
      <c r="K32" s="20" t="n">
        <v>0</v>
      </c>
      <c r="L32" s="20" t="n">
        <v>0</v>
      </c>
      <c r="M32" s="20" t="n">
        <v>0</v>
      </c>
      <c r="N32" s="10" t="inlineStr">
        <is>
          <t>$M</t>
        </is>
      </c>
    </row>
    <row r="33">
      <c r="A33" s="10" t="inlineStr">
        <is>
          <t>Shock</t>
        </is>
      </c>
      <c r="B33" s="7" t="inlineStr">
        <is>
          <t>Shock: Other operating income / (expense), one-time items (+ = income)</t>
        </is>
      </c>
      <c r="D33" s="20" t="n">
        <v>0</v>
      </c>
      <c r="E33" s="20" t="n">
        <v>0</v>
      </c>
      <c r="F33" s="20" t="n">
        <v>0</v>
      </c>
      <c r="G33" s="20" t="n">
        <v>0</v>
      </c>
      <c r="H33" s="20" t="n">
        <v>0</v>
      </c>
      <c r="I33" s="20" t="n">
        <v>0</v>
      </c>
      <c r="J33" s="20" t="n">
        <v>0</v>
      </c>
      <c r="K33" s="20" t="n">
        <v>0</v>
      </c>
      <c r="L33" s="20" t="n">
        <v>0</v>
      </c>
      <c r="M33" s="20" t="n">
        <v>0</v>
      </c>
      <c r="N33" s="10" t="inlineStr">
        <is>
          <t>$M</t>
        </is>
      </c>
    </row>
    <row r="34">
      <c r="A34" s="10" t="inlineStr">
        <is>
          <t>Shock</t>
        </is>
      </c>
      <c r="B34" s="7" t="inlineStr">
        <is>
          <t>Shock: Net yield on invested assets (cash &amp; equivalents)</t>
        </is>
      </c>
      <c r="D34" s="18" t="n">
        <v>0</v>
      </c>
      <c r="E34" s="18" t="n">
        <v>0</v>
      </c>
      <c r="F34" s="18" t="n">
        <v>0</v>
      </c>
      <c r="G34" s="18" t="n">
        <v>0</v>
      </c>
      <c r="H34" s="18" t="n">
        <v>0</v>
      </c>
      <c r="I34" s="18" t="n">
        <v>0</v>
      </c>
      <c r="J34" s="18" t="n">
        <v>0</v>
      </c>
      <c r="K34" s="18" t="n">
        <v>0</v>
      </c>
      <c r="L34" s="18" t="n">
        <v>0</v>
      </c>
      <c r="M34" s="18" t="n">
        <v>0</v>
      </c>
      <c r="N34" s="10" t="inlineStr">
        <is>
          <t>% of prior-yr cash</t>
        </is>
      </c>
    </row>
    <row r="35">
      <c r="A35" s="10" t="inlineStr">
        <is>
          <t>Shock</t>
        </is>
      </c>
      <c r="B35" s="7" t="inlineStr">
        <is>
          <t>Shock: Interest rate on debt (ABL revolver; debt is zero in baseline)</t>
        </is>
      </c>
      <c r="D35" s="18" t="n">
        <v>0</v>
      </c>
      <c r="E35" s="18" t="n">
        <v>0</v>
      </c>
      <c r="F35" s="18" t="n">
        <v>0</v>
      </c>
      <c r="G35" s="18" t="n">
        <v>0</v>
      </c>
      <c r="H35" s="18" t="n">
        <v>0</v>
      </c>
      <c r="I35" s="18" t="n">
        <v>0</v>
      </c>
      <c r="J35" s="18" t="n">
        <v>0</v>
      </c>
      <c r="K35" s="18" t="n">
        <v>0</v>
      </c>
      <c r="L35" s="18" t="n">
        <v>0</v>
      </c>
      <c r="M35" s="18" t="n">
        <v>0</v>
      </c>
      <c r="N35" s="10" t="inlineStr">
        <is>
          <t>% of prior-yr debt</t>
        </is>
      </c>
    </row>
    <row r="36">
      <c r="A36" s="10" t="inlineStr">
        <is>
          <t>Shock</t>
        </is>
      </c>
      <c r="B36" s="7" t="inlineStr">
        <is>
          <t>Shock: Effective income tax rate</t>
        </is>
      </c>
      <c r="D36" s="18" t="n">
        <v>0</v>
      </c>
      <c r="E36" s="18" t="n">
        <v>0</v>
      </c>
      <c r="F36" s="18" t="n">
        <v>0</v>
      </c>
      <c r="G36" s="18" t="n">
        <v>0</v>
      </c>
      <c r="H36" s="18" t="n">
        <v>0</v>
      </c>
      <c r="I36" s="18" t="n">
        <v>0</v>
      </c>
      <c r="J36" s="18" t="n">
        <v>0</v>
      </c>
      <c r="K36" s="18" t="n">
        <v>0</v>
      </c>
      <c r="L36" s="18" t="n">
        <v>0</v>
      </c>
      <c r="M36" s="18" t="n">
        <v>0</v>
      </c>
      <c r="N36" s="10" t="inlineStr">
        <is>
          <t>% of pre-tax</t>
        </is>
      </c>
    </row>
    <row r="37">
      <c r="A37" s="10" t="inlineStr">
        <is>
          <t>Shock</t>
        </is>
      </c>
      <c r="B37" s="7" t="inlineStr">
        <is>
          <t>Shock: Discount rate (cost of equity, CAPM) - single rate for the segment</t>
        </is>
      </c>
      <c r="D37" s="18" t="n">
        <v>0</v>
      </c>
      <c r="N37" s="10" t="inlineStr">
        <is>
          <t>% p.a.</t>
        </is>
      </c>
    </row>
    <row r="39">
      <c r="A39" s="12" t="inlineStr">
        <is>
          <t>ASSUMPTIONS FOR SCENARIO RUN  (every cell = baseline + shock; the projection reads ONLY this block)</t>
        </is>
      </c>
      <c r="B39" s="13" t="n"/>
      <c r="C39" s="13" t="n"/>
      <c r="D39" s="13" t="n"/>
      <c r="E39" s="13" t="n"/>
      <c r="F39" s="13" t="n"/>
      <c r="G39" s="13" t="n"/>
      <c r="H39" s="13" t="n"/>
      <c r="I39" s="13" t="n"/>
      <c r="J39" s="13" t="n"/>
      <c r="K39" s="13" t="n"/>
      <c r="L39" s="13" t="n"/>
      <c r="M39" s="13" t="n"/>
      <c r="N39" s="13" t="n"/>
      <c r="O39" s="13" t="n"/>
    </row>
    <row r="40">
      <c r="A40" s="10" t="inlineStr">
        <is>
          <t>Scenario</t>
        </is>
      </c>
      <c r="B40" s="7" t="inlineStr">
        <is>
          <t>Scenario: Gross store openings (number of stores)</t>
        </is>
      </c>
      <c r="D40" s="16">
        <f>D6+D23</f>
        <v/>
      </c>
      <c r="E40" s="16">
        <f>E6+E23</f>
        <v/>
      </c>
      <c r="F40" s="16">
        <f>F6+F23</f>
        <v/>
      </c>
      <c r="G40" s="16">
        <f>G6+G23</f>
        <v/>
      </c>
      <c r="H40" s="16">
        <f>H6+H23</f>
        <v/>
      </c>
      <c r="I40" s="16">
        <f>I6+I23</f>
        <v/>
      </c>
      <c r="J40" s="16">
        <f>J6+J23</f>
        <v/>
      </c>
      <c r="K40" s="16">
        <f>K6+K23</f>
        <v/>
      </c>
      <c r="L40" s="16">
        <f>L6+L23</f>
        <v/>
      </c>
      <c r="M40" s="16">
        <f>M6+M23</f>
        <v/>
      </c>
      <c r="N40" s="10" t="inlineStr">
        <is>
          <t># stores</t>
        </is>
      </c>
    </row>
    <row r="41">
      <c r="A41" s="10" t="inlineStr">
        <is>
          <t>Scenario</t>
        </is>
      </c>
      <c r="B41" s="7" t="inlineStr">
        <is>
          <t>Scenario: Store closures (number of stores)</t>
        </is>
      </c>
      <c r="D41" s="16">
        <f>D7+D24</f>
        <v/>
      </c>
      <c r="E41" s="16">
        <f>E7+E24</f>
        <v/>
      </c>
      <c r="F41" s="16">
        <f>F7+F24</f>
        <v/>
      </c>
      <c r="G41" s="16">
        <f>G7+G24</f>
        <v/>
      </c>
      <c r="H41" s="16">
        <f>H7+H24</f>
        <v/>
      </c>
      <c r="I41" s="16">
        <f>I7+I24</f>
        <v/>
      </c>
      <c r="J41" s="16">
        <f>J7+J24</f>
        <v/>
      </c>
      <c r="K41" s="16">
        <f>K7+K24</f>
        <v/>
      </c>
      <c r="L41" s="16">
        <f>L7+L24</f>
        <v/>
      </c>
      <c r="M41" s="16">
        <f>M7+M24</f>
        <v/>
      </c>
      <c r="N41" s="10" t="inlineStr">
        <is>
          <t># stores</t>
        </is>
      </c>
    </row>
    <row r="42">
      <c r="A42" s="10" t="inlineStr">
        <is>
          <t>Scenario</t>
        </is>
      </c>
      <c r="B42" s="7" t="inlineStr">
        <is>
          <t>Scenario: Same-store sales growth (applied to merchandise sales per average store)</t>
        </is>
      </c>
      <c r="D42" s="19">
        <f>D8+D25</f>
        <v/>
      </c>
      <c r="E42" s="19">
        <f>E8+E25</f>
        <v/>
      </c>
      <c r="F42" s="19">
        <f>F8+F25</f>
        <v/>
      </c>
      <c r="G42" s="19">
        <f>G8+G25</f>
        <v/>
      </c>
      <c r="H42" s="19">
        <f>H8+H25</f>
        <v/>
      </c>
      <c r="I42" s="19">
        <f>I8+I25</f>
        <v/>
      </c>
      <c r="J42" s="19">
        <f>J8+J25</f>
        <v/>
      </c>
      <c r="K42" s="19">
        <f>K8+K25</f>
        <v/>
      </c>
      <c r="L42" s="19">
        <f>L8+L25</f>
        <v/>
      </c>
      <c r="M42" s="19">
        <f>M8+M25</f>
        <v/>
      </c>
      <c r="N42" s="10" t="inlineStr">
        <is>
          <t>% p.a.</t>
        </is>
      </c>
    </row>
    <row r="43">
      <c r="A43" s="10" t="inlineStr">
        <is>
          <t>Scenario</t>
        </is>
      </c>
      <c r="B43" s="7" t="inlineStr">
        <is>
          <t>Scenario: E-commerce merchandise sales growth</t>
        </is>
      </c>
      <c r="D43" s="19">
        <f>D9+D26</f>
        <v/>
      </c>
      <c r="E43" s="19">
        <f>E9+E26</f>
        <v/>
      </c>
      <c r="F43" s="19">
        <f>F9+F26</f>
        <v/>
      </c>
      <c r="G43" s="19">
        <f>G9+G26</f>
        <v/>
      </c>
      <c r="H43" s="19">
        <f>H9+H26</f>
        <v/>
      </c>
      <c r="I43" s="19">
        <f>I9+I26</f>
        <v/>
      </c>
      <c r="J43" s="19">
        <f>J9+J26</f>
        <v/>
      </c>
      <c r="K43" s="19">
        <f>K9+K26</f>
        <v/>
      </c>
      <c r="L43" s="19">
        <f>L9+L26</f>
        <v/>
      </c>
      <c r="M43" s="19">
        <f>M9+M26</f>
        <v/>
      </c>
      <c r="N43" s="10" t="inlineStr">
        <is>
          <t>% p.a.</t>
        </is>
      </c>
    </row>
    <row r="44">
      <c r="A44" s="10" t="inlineStr">
        <is>
          <t>Scenario</t>
        </is>
      </c>
      <c r="B44" s="7" t="inlineStr">
        <is>
          <t>Scenario: Services attach rate (services revenue as % of merchandise sales)</t>
        </is>
      </c>
      <c r="D44" s="19">
        <f>D10+D27</f>
        <v/>
      </c>
      <c r="E44" s="19">
        <f>E10+E27</f>
        <v/>
      </c>
      <c r="F44" s="19">
        <f>F10+F27</f>
        <v/>
      </c>
      <c r="G44" s="19">
        <f>G10+G27</f>
        <v/>
      </c>
      <c r="H44" s="19">
        <f>H10+H27</f>
        <v/>
      </c>
      <c r="I44" s="19">
        <f>I10+I27</f>
        <v/>
      </c>
      <c r="J44" s="19">
        <f>J10+J27</f>
        <v/>
      </c>
      <c r="K44" s="19">
        <f>K10+K27</f>
        <v/>
      </c>
      <c r="L44" s="19">
        <f>L10+L27</f>
        <v/>
      </c>
      <c r="M44" s="19">
        <f>M10+M27</f>
        <v/>
      </c>
      <c r="N44" s="10" t="inlineStr">
        <is>
          <t>% of merch.</t>
        </is>
      </c>
    </row>
    <row r="45">
      <c r="A45" s="10" t="inlineStr">
        <is>
          <t>Scenario</t>
        </is>
      </c>
      <c r="B45" s="7" t="inlineStr">
        <is>
          <t>Scenario: Other (non-retail / diamond sourcing) revenue growth</t>
        </is>
      </c>
      <c r="D45" s="19">
        <f>D11+D28</f>
        <v/>
      </c>
      <c r="E45" s="19">
        <f>E11+E28</f>
        <v/>
      </c>
      <c r="F45" s="19">
        <f>F11+F28</f>
        <v/>
      </c>
      <c r="G45" s="19">
        <f>G11+G28</f>
        <v/>
      </c>
      <c r="H45" s="19">
        <f>H11+H28</f>
        <v/>
      </c>
      <c r="I45" s="19">
        <f>I11+I28</f>
        <v/>
      </c>
      <c r="J45" s="19">
        <f>J11+J28</f>
        <v/>
      </c>
      <c r="K45" s="19">
        <f>K11+K28</f>
        <v/>
      </c>
      <c r="L45" s="19">
        <f>L11+L28</f>
        <v/>
      </c>
      <c r="M45" s="19">
        <f>M11+M28</f>
        <v/>
      </c>
      <c r="N45" s="10" t="inlineStr">
        <is>
          <t>% p.a.</t>
        </is>
      </c>
    </row>
    <row r="46">
      <c r="A46" s="10" t="inlineStr">
        <is>
          <t>Scenario</t>
        </is>
      </c>
      <c r="B46" s="7" t="inlineStr">
        <is>
          <t>Scenario: Cost of sales (incl. store occupancy) as % of total sales</t>
        </is>
      </c>
      <c r="D46" s="19">
        <f>D12+D29</f>
        <v/>
      </c>
      <c r="E46" s="19">
        <f>E12+E29</f>
        <v/>
      </c>
      <c r="F46" s="19">
        <f>F12+F29</f>
        <v/>
      </c>
      <c r="G46" s="19">
        <f>G12+G29</f>
        <v/>
      </c>
      <c r="H46" s="19">
        <f>H12+H29</f>
        <v/>
      </c>
      <c r="I46" s="19">
        <f>I12+I29</f>
        <v/>
      </c>
      <c r="J46" s="19">
        <f>J12+J29</f>
        <v/>
      </c>
      <c r="K46" s="19">
        <f>K12+K29</f>
        <v/>
      </c>
      <c r="L46" s="19">
        <f>L12+L29</f>
        <v/>
      </c>
      <c r="M46" s="19">
        <f>M12+M29</f>
        <v/>
      </c>
      <c r="N46" s="10" t="inlineStr">
        <is>
          <t>% of sales</t>
        </is>
      </c>
    </row>
    <row r="47">
      <c r="A47" s="10" t="inlineStr">
        <is>
          <t>Scenario</t>
        </is>
      </c>
      <c r="B47" s="7" t="inlineStr">
        <is>
          <t>Scenario: Variable SG&amp;A (store payroll, advertising, credit) as % of total sales</t>
        </is>
      </c>
      <c r="D47" s="19">
        <f>D13+D30</f>
        <v/>
      </c>
      <c r="E47" s="19">
        <f>E13+E30</f>
        <v/>
      </c>
      <c r="F47" s="19">
        <f>F13+F30</f>
        <v/>
      </c>
      <c r="G47" s="19">
        <f>G13+G30</f>
        <v/>
      </c>
      <c r="H47" s="19">
        <f>H13+H30</f>
        <v/>
      </c>
      <c r="I47" s="19">
        <f>I13+I30</f>
        <v/>
      </c>
      <c r="J47" s="19">
        <f>J13+J30</f>
        <v/>
      </c>
      <c r="K47" s="19">
        <f>K13+K30</f>
        <v/>
      </c>
      <c r="L47" s="19">
        <f>L13+L30</f>
        <v/>
      </c>
      <c r="M47" s="19">
        <f>M13+M30</f>
        <v/>
      </c>
      <c r="N47" s="10" t="inlineStr">
        <is>
          <t>% of sales</t>
        </is>
      </c>
    </row>
    <row r="48">
      <c r="A48" s="10" t="inlineStr">
        <is>
          <t>Scenario</t>
        </is>
      </c>
      <c r="B48" s="7" t="inlineStr">
        <is>
          <t>Scenario: Fixed SG&amp;A inflation (corporate, support, fixed store overhead)</t>
        </is>
      </c>
      <c r="D48" s="19">
        <f>D14+D31</f>
        <v/>
      </c>
      <c r="E48" s="19">
        <f>E14+E31</f>
        <v/>
      </c>
      <c r="F48" s="19">
        <f>F14+F31</f>
        <v/>
      </c>
      <c r="G48" s="19">
        <f>G14+G31</f>
        <v/>
      </c>
      <c r="H48" s="19">
        <f>H14+H31</f>
        <v/>
      </c>
      <c r="I48" s="19">
        <f>I14+I31</f>
        <v/>
      </c>
      <c r="J48" s="19">
        <f>J14+J31</f>
        <v/>
      </c>
      <c r="K48" s="19">
        <f>K14+K31</f>
        <v/>
      </c>
      <c r="L48" s="19">
        <f>L14+L31</f>
        <v/>
      </c>
      <c r="M48" s="19">
        <f>M14+M31</f>
        <v/>
      </c>
      <c r="N48" s="10" t="inlineStr">
        <is>
          <t>% p.a.</t>
        </is>
      </c>
    </row>
    <row r="49">
      <c r="A49" s="10" t="inlineStr">
        <is>
          <t>Scenario</t>
        </is>
      </c>
      <c r="B49" s="7" t="inlineStr">
        <is>
          <t>Scenario: Cost-savings initiatives (incremental run-rate cut to fixed SG&amp;A)</t>
        </is>
      </c>
      <c r="D49" s="21">
        <f>D15+D32</f>
        <v/>
      </c>
      <c r="E49" s="21">
        <f>E15+E32</f>
        <v/>
      </c>
      <c r="F49" s="21">
        <f>F15+F32</f>
        <v/>
      </c>
      <c r="G49" s="21">
        <f>G15+G32</f>
        <v/>
      </c>
      <c r="H49" s="21">
        <f>H15+H32</f>
        <v/>
      </c>
      <c r="I49" s="21">
        <f>I15+I32</f>
        <v/>
      </c>
      <c r="J49" s="21">
        <f>J15+J32</f>
        <v/>
      </c>
      <c r="K49" s="21">
        <f>K15+K32</f>
        <v/>
      </c>
      <c r="L49" s="21">
        <f>L15+L32</f>
        <v/>
      </c>
      <c r="M49" s="21">
        <f>M15+M32</f>
        <v/>
      </c>
      <c r="N49" s="10" t="inlineStr">
        <is>
          <t>$M</t>
        </is>
      </c>
    </row>
    <row r="50">
      <c r="A50" s="10" t="inlineStr">
        <is>
          <t>Scenario</t>
        </is>
      </c>
      <c r="B50" s="7" t="inlineStr">
        <is>
          <t>Scenario: Other operating income / (expense), one-time items (+ = income)</t>
        </is>
      </c>
      <c r="D50" s="21">
        <f>D16+D33</f>
        <v/>
      </c>
      <c r="E50" s="21">
        <f>E16+E33</f>
        <v/>
      </c>
      <c r="F50" s="21">
        <f>F16+F33</f>
        <v/>
      </c>
      <c r="G50" s="21">
        <f>G16+G33</f>
        <v/>
      </c>
      <c r="H50" s="21">
        <f>H16+H33</f>
        <v/>
      </c>
      <c r="I50" s="21">
        <f>I16+I33</f>
        <v/>
      </c>
      <c r="J50" s="21">
        <f>J16+J33</f>
        <v/>
      </c>
      <c r="K50" s="21">
        <f>K16+K33</f>
        <v/>
      </c>
      <c r="L50" s="21">
        <f>L16+L33</f>
        <v/>
      </c>
      <c r="M50" s="21">
        <f>M16+M33</f>
        <v/>
      </c>
      <c r="N50" s="10" t="inlineStr">
        <is>
          <t>$M</t>
        </is>
      </c>
    </row>
    <row r="51">
      <c r="A51" s="10" t="inlineStr">
        <is>
          <t>Scenario</t>
        </is>
      </c>
      <c r="B51" s="7" t="inlineStr">
        <is>
          <t>Scenario: Net yield on invested assets (cash &amp; equivalents)</t>
        </is>
      </c>
      <c r="D51" s="19">
        <f>D17+D34</f>
        <v/>
      </c>
      <c r="E51" s="19">
        <f>E17+E34</f>
        <v/>
      </c>
      <c r="F51" s="19">
        <f>F17+F34</f>
        <v/>
      </c>
      <c r="G51" s="19">
        <f>G17+G34</f>
        <v/>
      </c>
      <c r="H51" s="19">
        <f>H17+H34</f>
        <v/>
      </c>
      <c r="I51" s="19">
        <f>I17+I34</f>
        <v/>
      </c>
      <c r="J51" s="19">
        <f>J17+J34</f>
        <v/>
      </c>
      <c r="K51" s="19">
        <f>K17+K34</f>
        <v/>
      </c>
      <c r="L51" s="19">
        <f>L17+L34</f>
        <v/>
      </c>
      <c r="M51" s="19">
        <f>M17+M34</f>
        <v/>
      </c>
      <c r="N51" s="10" t="inlineStr">
        <is>
          <t>% of prior-yr cash</t>
        </is>
      </c>
    </row>
    <row r="52">
      <c r="A52" s="10" t="inlineStr">
        <is>
          <t>Scenario</t>
        </is>
      </c>
      <c r="B52" s="7" t="inlineStr">
        <is>
          <t>Scenario: Interest rate on debt (ABL revolver; debt is zero in baseline)</t>
        </is>
      </c>
      <c r="D52" s="19">
        <f>D18+D35</f>
        <v/>
      </c>
      <c r="E52" s="19">
        <f>E18+E35</f>
        <v/>
      </c>
      <c r="F52" s="19">
        <f>F18+F35</f>
        <v/>
      </c>
      <c r="G52" s="19">
        <f>G18+G35</f>
        <v/>
      </c>
      <c r="H52" s="19">
        <f>H18+H35</f>
        <v/>
      </c>
      <c r="I52" s="19">
        <f>I18+I35</f>
        <v/>
      </c>
      <c r="J52" s="19">
        <f>J18+J35</f>
        <v/>
      </c>
      <c r="K52" s="19">
        <f>K18+K35</f>
        <v/>
      </c>
      <c r="L52" s="19">
        <f>L18+L35</f>
        <v/>
      </c>
      <c r="M52" s="19">
        <f>M18+M35</f>
        <v/>
      </c>
      <c r="N52" s="10" t="inlineStr">
        <is>
          <t>% of prior-yr debt</t>
        </is>
      </c>
    </row>
    <row r="53">
      <c r="A53" s="10" t="inlineStr">
        <is>
          <t>Scenario</t>
        </is>
      </c>
      <c r="B53" s="7" t="inlineStr">
        <is>
          <t>Scenario: Effective income tax rate</t>
        </is>
      </c>
      <c r="D53" s="19">
        <f>D19+D36</f>
        <v/>
      </c>
      <c r="E53" s="19">
        <f>E19+E36</f>
        <v/>
      </c>
      <c r="F53" s="19">
        <f>F19+F36</f>
        <v/>
      </c>
      <c r="G53" s="19">
        <f>G19+G36</f>
        <v/>
      </c>
      <c r="H53" s="19">
        <f>H19+H36</f>
        <v/>
      </c>
      <c r="I53" s="19">
        <f>I19+I36</f>
        <v/>
      </c>
      <c r="J53" s="19">
        <f>J19+J36</f>
        <v/>
      </c>
      <c r="K53" s="19">
        <f>K19+K36</f>
        <v/>
      </c>
      <c r="L53" s="19">
        <f>L19+L36</f>
        <v/>
      </c>
      <c r="M53" s="19">
        <f>M19+M36</f>
        <v/>
      </c>
      <c r="N53" s="10" t="inlineStr">
        <is>
          <t>% of pre-tax</t>
        </is>
      </c>
    </row>
    <row r="54">
      <c r="A54" s="10" t="inlineStr">
        <is>
          <t>Scenario</t>
        </is>
      </c>
      <c r="B54" s="7" t="inlineStr">
        <is>
          <t>Scenario: Discount rate (cost of equity, CAPM) - single rate for the segment</t>
        </is>
      </c>
      <c r="D54" s="19">
        <f>D20+D37</f>
        <v/>
      </c>
      <c r="N54" s="10" t="inlineStr">
        <is>
          <t>% p.a.</t>
        </is>
      </c>
    </row>
    <row r="56">
      <c r="A56" s="12" t="inlineStr">
        <is>
          <t>PROJECTION  ($ millions unless stated; all formulas read the SCENARIO block, never the baseline block directly)</t>
        </is>
      </c>
      <c r="B56" s="13" t="n"/>
      <c r="C56" s="13" t="n"/>
      <c r="D56" s="13" t="n"/>
      <c r="E56" s="13" t="n"/>
      <c r="F56" s="13" t="n"/>
      <c r="G56" s="13" t="n"/>
      <c r="H56" s="13" t="n"/>
      <c r="I56" s="13" t="n"/>
      <c r="J56" s="13" t="n"/>
      <c r="K56" s="13" t="n"/>
      <c r="L56" s="13" t="n"/>
      <c r="M56" s="13" t="n"/>
      <c r="N56" s="13" t="n"/>
      <c r="O56" s="13" t="n"/>
    </row>
    <row r="57">
      <c r="A57" s="22" t="inlineStr">
        <is>
          <t>Drivers</t>
        </is>
      </c>
      <c r="B57" s="23" t="inlineStr">
        <is>
          <t>OPERATING DRIVERS</t>
        </is>
      </c>
      <c r="C57" s="24" t="n"/>
      <c r="D57" s="24" t="n"/>
      <c r="E57" s="24" t="n"/>
      <c r="F57" s="24" t="n"/>
      <c r="G57" s="24" t="n"/>
      <c r="H57" s="24" t="n"/>
      <c r="I57" s="24" t="n"/>
      <c r="J57" s="24" t="n"/>
      <c r="K57" s="24" t="n"/>
      <c r="L57" s="24" t="n"/>
      <c r="M57" s="24" t="n"/>
      <c r="N57" s="24" t="n"/>
      <c r="O57" s="24" t="n"/>
    </row>
    <row r="58">
      <c r="B58" s="7" t="inlineStr">
        <is>
          <t>Stores - beginning of year</t>
        </is>
      </c>
      <c r="C58" s="17" t="n">
        <v>0</v>
      </c>
      <c r="D58" s="16">
        <f>C61</f>
        <v/>
      </c>
      <c r="E58" s="16">
        <f>D61</f>
        <v/>
      </c>
      <c r="F58" s="16">
        <f>E61</f>
        <v/>
      </c>
      <c r="G58" s="16">
        <f>F61</f>
        <v/>
      </c>
      <c r="H58" s="16">
        <f>G61</f>
        <v/>
      </c>
      <c r="I58" s="16">
        <f>H61</f>
        <v/>
      </c>
      <c r="J58" s="16">
        <f>I61</f>
        <v/>
      </c>
      <c r="K58" s="16">
        <f>J61</f>
        <v/>
      </c>
      <c r="L58" s="16">
        <f>K61</f>
        <v/>
      </c>
      <c r="M58" s="16">
        <f>L61</f>
        <v/>
      </c>
      <c r="N58" s="10" t="inlineStr">
        <is>
          <t># stores</t>
        </is>
      </c>
      <c r="O58" s="10" t="inlineStr">
        <is>
          <t>Last Yr = stores at Feb 1, 2025 (10-K FY2026).</t>
        </is>
      </c>
    </row>
    <row r="59">
      <c r="B59" s="7" t="inlineStr">
        <is>
          <t>Gross store openings</t>
        </is>
      </c>
      <c r="C59" s="17" t="n">
        <v>0</v>
      </c>
      <c r="D59" s="16">
        <f>D40</f>
        <v/>
      </c>
      <c r="E59" s="16">
        <f>E40</f>
        <v/>
      </c>
      <c r="F59" s="16">
        <f>F40</f>
        <v/>
      </c>
      <c r="G59" s="16">
        <f>G40</f>
        <v/>
      </c>
      <c r="H59" s="16">
        <f>H40</f>
        <v/>
      </c>
      <c r="I59" s="16">
        <f>I40</f>
        <v/>
      </c>
      <c r="J59" s="16">
        <f>J40</f>
        <v/>
      </c>
      <c r="K59" s="16">
        <f>K40</f>
        <v/>
      </c>
      <c r="L59" s="16">
        <f>L40</f>
        <v/>
      </c>
      <c r="M59" s="16">
        <f>M40</f>
        <v/>
      </c>
      <c r="N59" s="10" t="inlineStr">
        <is>
          <t># stores</t>
        </is>
      </c>
      <c r="O59" s="10" t="inlineStr"/>
    </row>
    <row r="60">
      <c r="B60" s="7" t="inlineStr">
        <is>
          <t>Store closures</t>
        </is>
      </c>
      <c r="C60" s="17" t="n">
        <v>0</v>
      </c>
      <c r="D60" s="16">
        <f>D41</f>
        <v/>
      </c>
      <c r="E60" s="16">
        <f>E41</f>
        <v/>
      </c>
      <c r="F60" s="16">
        <f>F41</f>
        <v/>
      </c>
      <c r="G60" s="16">
        <f>G41</f>
        <v/>
      </c>
      <c r="H60" s="16">
        <f>H41</f>
        <v/>
      </c>
      <c r="I60" s="16">
        <f>I41</f>
        <v/>
      </c>
      <c r="J60" s="16">
        <f>J41</f>
        <v/>
      </c>
      <c r="K60" s="16">
        <f>K41</f>
        <v/>
      </c>
      <c r="L60" s="16">
        <f>L41</f>
        <v/>
      </c>
      <c r="M60" s="16">
        <f>M41</f>
        <v/>
      </c>
      <c r="N60" s="10" t="inlineStr">
        <is>
          <t># stores</t>
        </is>
      </c>
      <c r="O60" s="10" t="inlineStr"/>
    </row>
    <row r="61">
      <c r="B61" s="7" t="inlineStr">
        <is>
          <t>Stores - end of year</t>
        </is>
      </c>
      <c r="C61" s="16">
        <f>C58+C59-C60</f>
        <v/>
      </c>
      <c r="D61" s="16">
        <f>D58+D59-D60</f>
        <v/>
      </c>
      <c r="E61" s="16">
        <f>E58+E59-E60</f>
        <v/>
      </c>
      <c r="F61" s="16">
        <f>F58+F59-F60</f>
        <v/>
      </c>
      <c r="G61" s="16">
        <f>G58+G59-G60</f>
        <v/>
      </c>
      <c r="H61" s="16">
        <f>H58+H59-H60</f>
        <v/>
      </c>
      <c r="I61" s="16">
        <f>I58+I59-I60</f>
        <v/>
      </c>
      <c r="J61" s="16">
        <f>J58+J59-J60</f>
        <v/>
      </c>
      <c r="K61" s="16">
        <f>K58+K59-K60</f>
        <v/>
      </c>
      <c r="L61" s="16">
        <f>L58+L59-L60</f>
        <v/>
      </c>
      <c r="M61" s="16">
        <f>M58+M59-M60</f>
        <v/>
      </c>
      <c r="N61" s="10" t="inlineStr">
        <is>
          <t># stores</t>
        </is>
      </c>
      <c r="O61" s="10" t="inlineStr"/>
    </row>
    <row r="62">
      <c r="B62" s="7" t="inlineStr">
        <is>
          <t>Average stores in operation</t>
        </is>
      </c>
      <c r="C62" s="21">
        <f>AVERAGE(C58,C61)</f>
        <v/>
      </c>
      <c r="D62" s="21">
        <f>AVERAGE(D58,D61)</f>
        <v/>
      </c>
      <c r="E62" s="21">
        <f>AVERAGE(E58,E61)</f>
        <v/>
      </c>
      <c r="F62" s="21">
        <f>AVERAGE(F58,F61)</f>
        <v/>
      </c>
      <c r="G62" s="21">
        <f>AVERAGE(G58,G61)</f>
        <v/>
      </c>
      <c r="H62" s="21">
        <f>AVERAGE(H58,H61)</f>
        <v/>
      </c>
      <c r="I62" s="21">
        <f>AVERAGE(I58,I61)</f>
        <v/>
      </c>
      <c r="J62" s="21">
        <f>AVERAGE(J58,J61)</f>
        <v/>
      </c>
      <c r="K62" s="21">
        <f>AVERAGE(K58,K61)</f>
        <v/>
      </c>
      <c r="L62" s="21">
        <f>AVERAGE(L58,L61)</f>
        <v/>
      </c>
      <c r="M62" s="21">
        <f>AVERAGE(M58,M61)</f>
        <v/>
      </c>
      <c r="N62" s="10" t="inlineStr">
        <is>
          <t># stores</t>
        </is>
      </c>
      <c r="O62" s="10" t="inlineStr"/>
    </row>
    <row r="63">
      <c r="B63" s="7" t="inlineStr">
        <is>
          <t>Store merchandise sales per average store</t>
        </is>
      </c>
      <c r="C63" s="25">
        <f>IF(C62=0,0,C66/C62)</f>
        <v/>
      </c>
      <c r="D63" s="25">
        <f>C63*(1+D42)</f>
        <v/>
      </c>
      <c r="E63" s="25">
        <f>D63*(1+E42)</f>
        <v/>
      </c>
      <c r="F63" s="25">
        <f>E63*(1+F42)</f>
        <v/>
      </c>
      <c r="G63" s="25">
        <f>F63*(1+G42)</f>
        <v/>
      </c>
      <c r="H63" s="25">
        <f>G63*(1+H42)</f>
        <v/>
      </c>
      <c r="I63" s="25">
        <f>H63*(1+I42)</f>
        <v/>
      </c>
      <c r="J63" s="25">
        <f>I63*(1+J42)</f>
        <v/>
      </c>
      <c r="K63" s="25">
        <f>J63*(1+K42)</f>
        <v/>
      </c>
      <c r="L63" s="25">
        <f>K63*(1+L42)</f>
        <v/>
      </c>
      <c r="M63" s="25">
        <f>L63*(1+M42)</f>
        <v/>
      </c>
      <c r="N63" s="10" t="inlineStr">
        <is>
          <t>$M / store</t>
        </is>
      </c>
      <c r="O63" s="10" t="inlineStr">
        <is>
          <t>Last Yr calibrated = store merchandise sales / average stores; grows at same-store-sales assumption.</t>
        </is>
      </c>
    </row>
    <row r="64"/>
    <row r="65">
      <c r="A65" s="22" t="inlineStr">
        <is>
          <t>Income stmt</t>
        </is>
      </c>
      <c r="B65" s="23" t="inlineStr">
        <is>
          <t>INCOME STATEMENT</t>
        </is>
      </c>
      <c r="C65" s="24" t="n"/>
      <c r="D65" s="24" t="n"/>
      <c r="E65" s="24" t="n"/>
      <c r="F65" s="24" t="n"/>
      <c r="G65" s="24" t="n"/>
      <c r="H65" s="24" t="n"/>
      <c r="I65" s="24" t="n"/>
      <c r="J65" s="24" t="n"/>
      <c r="K65" s="24" t="n"/>
      <c r="L65" s="24" t="n"/>
      <c r="M65" s="24" t="n"/>
      <c r="N65" s="24" t="n"/>
      <c r="O65" s="24" t="n"/>
    </row>
    <row r="66">
      <c r="B66" s="7" t="inlineStr">
        <is>
          <t>Store merchandise sales (average stores x sales per store)</t>
        </is>
      </c>
      <c r="C66" s="20" t="n">
        <v>0</v>
      </c>
      <c r="D66" s="21">
        <f>D62*D63</f>
        <v/>
      </c>
      <c r="E66" s="21">
        <f>E62*E63</f>
        <v/>
      </c>
      <c r="F66" s="21">
        <f>F62*F63</f>
        <v/>
      </c>
      <c r="G66" s="21">
        <f>G62*G63</f>
        <v/>
      </c>
      <c r="H66" s="21">
        <f>H62*H63</f>
        <v/>
      </c>
      <c r="I66" s="21">
        <f>I62*I63</f>
        <v/>
      </c>
      <c r="J66" s="21">
        <f>J62*J63</f>
        <v/>
      </c>
      <c r="K66" s="21">
        <f>K62*K63</f>
        <v/>
      </c>
      <c r="L66" s="21">
        <f>L62*L63</f>
        <v/>
      </c>
      <c r="M66" s="21">
        <f>M62*M63</f>
        <v/>
      </c>
      <c r="N66" s="10" t="inlineStr">
        <is>
          <t>$M</t>
        </is>
      </c>
      <c r="O66" s="10" t="inlineStr"/>
    </row>
    <row r="67">
      <c r="B67" s="7" t="inlineStr">
        <is>
          <t>E-commerce merchandise sales</t>
        </is>
      </c>
      <c r="C67" s="20" t="n">
        <v>0</v>
      </c>
      <c r="D67" s="21">
        <f>C67*(1+D43)</f>
        <v/>
      </c>
      <c r="E67" s="21">
        <f>D67*(1+E43)</f>
        <v/>
      </c>
      <c r="F67" s="21">
        <f>E67*(1+F43)</f>
        <v/>
      </c>
      <c r="G67" s="21">
        <f>F67*(1+G43)</f>
        <v/>
      </c>
      <c r="H67" s="21">
        <f>G67*(1+H43)</f>
        <v/>
      </c>
      <c r="I67" s="21">
        <f>H67*(1+I43)</f>
        <v/>
      </c>
      <c r="J67" s="21">
        <f>I67*(1+J43)</f>
        <v/>
      </c>
      <c r="K67" s="21">
        <f>J67*(1+K43)</f>
        <v/>
      </c>
      <c r="L67" s="21">
        <f>K67*(1+L43)</f>
        <v/>
      </c>
      <c r="M67" s="21">
        <f>L67*(1+M43)</f>
        <v/>
      </c>
      <c r="N67" s="10" t="inlineStr">
        <is>
          <t>$M</t>
        </is>
      </c>
      <c r="O67" s="10" t="inlineStr">
        <is>
          <t>Last Yr: NA 1,423.8 incl. James Allen + Blue Nile 481.5; company e-commerce 21.8% of sales.</t>
        </is>
      </c>
    </row>
    <row r="68">
      <c r="B68" s="7" t="inlineStr">
        <is>
          <t>Services revenue (extended service plans, repairs, custom design)</t>
        </is>
      </c>
      <c r="C68" s="20" t="n">
        <v>0</v>
      </c>
      <c r="D68" s="21">
        <f>(D66+D67)*D44</f>
        <v/>
      </c>
      <c r="E68" s="21">
        <f>(E66+E67)*E44</f>
        <v/>
      </c>
      <c r="F68" s="21">
        <f>(F66+F67)*F44</f>
        <v/>
      </c>
      <c r="G68" s="21">
        <f>(G66+G67)*G44</f>
        <v/>
      </c>
      <c r="H68" s="21">
        <f>(H66+H67)*H44</f>
        <v/>
      </c>
      <c r="I68" s="21">
        <f>(I66+I67)*I44</f>
        <v/>
      </c>
      <c r="J68" s="21">
        <f>(J66+J67)*J44</f>
        <v/>
      </c>
      <c r="K68" s="21">
        <f>(K66+K67)*K44</f>
        <v/>
      </c>
      <c r="L68" s="21">
        <f>(L66+L67)*L44</f>
        <v/>
      </c>
      <c r="M68" s="21">
        <f>(M66+M67)*M44</f>
        <v/>
      </c>
      <c r="N68" s="10" t="inlineStr">
        <is>
          <t>$M</t>
        </is>
      </c>
      <c r="O68" s="10" t="inlineStr">
        <is>
          <t>FY2026 services 803.5 consolidated (10-K); attach rate assumption x merchandise sales.</t>
        </is>
      </c>
    </row>
    <row r="69">
      <c r="B69" s="7" t="inlineStr">
        <is>
          <t>Other revenue (diamond sourcing / non-retail)</t>
        </is>
      </c>
      <c r="C69" s="20" t="n">
        <v>39.6</v>
      </c>
      <c r="D69" s="21">
        <f>C69*(1+D45)</f>
        <v/>
      </c>
      <c r="E69" s="21">
        <f>D69*(1+E45)</f>
        <v/>
      </c>
      <c r="F69" s="21">
        <f>E69*(1+F45)</f>
        <v/>
      </c>
      <c r="G69" s="21">
        <f>F69*(1+G45)</f>
        <v/>
      </c>
      <c r="H69" s="21">
        <f>G69*(1+H45)</f>
        <v/>
      </c>
      <c r="I69" s="21">
        <f>H69*(1+I45)</f>
        <v/>
      </c>
      <c r="J69" s="21">
        <f>I69*(1+J45)</f>
        <v/>
      </c>
      <c r="K69" s="21">
        <f>J69*(1+K45)</f>
        <v/>
      </c>
      <c r="L69" s="21">
        <f>K69*(1+L45)</f>
        <v/>
      </c>
      <c r="M69" s="21">
        <f>L69*(1+M45)</f>
        <v/>
      </c>
      <c r="N69" s="10" t="inlineStr">
        <is>
          <t>$M</t>
        </is>
      </c>
      <c r="O69" s="10" t="inlineStr">
        <is>
          <t>Diamond-sourcing sales to third parties (Other segment).</t>
        </is>
      </c>
    </row>
    <row r="70">
      <c r="B70" s="3" t="inlineStr">
        <is>
          <t>TOTAL SALES</t>
        </is>
      </c>
      <c r="C70" s="26">
        <f>SUM(C66:C69)</f>
        <v/>
      </c>
      <c r="D70" s="26">
        <f>SUM(D66:D69)</f>
        <v/>
      </c>
      <c r="E70" s="26">
        <f>SUM(E66:E69)</f>
        <v/>
      </c>
      <c r="F70" s="26">
        <f>SUM(F66:F69)</f>
        <v/>
      </c>
      <c r="G70" s="26">
        <f>SUM(G66:G69)</f>
        <v/>
      </c>
      <c r="H70" s="26">
        <f>SUM(H66:H69)</f>
        <v/>
      </c>
      <c r="I70" s="26">
        <f>SUM(I66:I69)</f>
        <v/>
      </c>
      <c r="J70" s="26">
        <f>SUM(J66:J69)</f>
        <v/>
      </c>
      <c r="K70" s="26">
        <f>SUM(K66:K69)</f>
        <v/>
      </c>
      <c r="L70" s="26">
        <f>SUM(L66:L69)</f>
        <v/>
      </c>
      <c r="M70" s="26">
        <f>SUM(M66:M69)</f>
        <v/>
      </c>
      <c r="N70" s="10" t="inlineStr">
        <is>
          <t>$M</t>
        </is>
      </c>
      <c r="O70" s="10" t="inlineStr">
        <is>
          <t>FY2026A ties to reported segment sales.</t>
        </is>
      </c>
    </row>
    <row r="71">
      <c r="B71" s="7" t="inlineStr">
        <is>
          <t>Revenue growth (calculated check row)</t>
        </is>
      </c>
      <c r="D71" s="19">
        <f>IF(C70=0,0,D70/C70-1)</f>
        <v/>
      </c>
      <c r="E71" s="19">
        <f>IF(D70=0,0,E70/D70-1)</f>
        <v/>
      </c>
      <c r="F71" s="19">
        <f>IF(E70=0,0,F70/E70-1)</f>
        <v/>
      </c>
      <c r="G71" s="19">
        <f>IF(F70=0,0,G70/F70-1)</f>
        <v/>
      </c>
      <c r="H71" s="19">
        <f>IF(G70=0,0,H70/G70-1)</f>
        <v/>
      </c>
      <c r="I71" s="19">
        <f>IF(H70=0,0,I70/H70-1)</f>
        <v/>
      </c>
      <c r="J71" s="19">
        <f>IF(I70=0,0,J70/I70-1)</f>
        <v/>
      </c>
      <c r="K71" s="19">
        <f>IF(J70=0,0,K70/J70-1)</f>
        <v/>
      </c>
      <c r="L71" s="19">
        <f>IF(K70=0,0,L70/K70-1)</f>
        <v/>
      </c>
      <c r="M71" s="19">
        <f>IF(L70=0,0,M70/L70-1)</f>
        <v/>
      </c>
      <c r="N71" s="10" t="inlineStr">
        <is>
          <t>%</t>
        </is>
      </c>
      <c r="O71" s="10" t="inlineStr"/>
    </row>
    <row r="72">
      <c r="B72" s="7" t="inlineStr">
        <is>
          <t>Cost of sales (merchandise, services and store occupancy)</t>
        </is>
      </c>
      <c r="C72" s="20" t="n">
        <v>36.4</v>
      </c>
      <c r="D72" s="21">
        <f>D70*D46</f>
        <v/>
      </c>
      <c r="E72" s="21">
        <f>E70*E46</f>
        <v/>
      </c>
      <c r="F72" s="21">
        <f>F70*F46</f>
        <v/>
      </c>
      <c r="G72" s="21">
        <f>G70*G46</f>
        <v/>
      </c>
      <c r="H72" s="21">
        <f>H70*H46</f>
        <v/>
      </c>
      <c r="I72" s="21">
        <f>I70*I46</f>
        <v/>
      </c>
      <c r="J72" s="21">
        <f>J70*J46</f>
        <v/>
      </c>
      <c r="K72" s="21">
        <f>K70*K46</f>
        <v/>
      </c>
      <c r="L72" s="21">
        <f>L70*L46</f>
        <v/>
      </c>
      <c r="M72" s="21">
        <f>M70*M46</f>
        <v/>
      </c>
      <c r="N72" s="10" t="inlineStr">
        <is>
          <t>$M</t>
        </is>
      </c>
      <c r="O72" s="10" t="inlineStr">
        <is>
          <t>Segment split of consolidated 4,119.0 is a team allocation (see Assumptions &amp; Sources).</t>
        </is>
      </c>
    </row>
    <row r="73">
      <c r="B73" s="3" t="inlineStr">
        <is>
          <t>Gross profit</t>
        </is>
      </c>
      <c r="C73" s="26">
        <f>C70-C72</f>
        <v/>
      </c>
      <c r="D73" s="26">
        <f>D70-D72</f>
        <v/>
      </c>
      <c r="E73" s="26">
        <f>E70-E72</f>
        <v/>
      </c>
      <c r="F73" s="26">
        <f>F70-F72</f>
        <v/>
      </c>
      <c r="G73" s="26">
        <f>G70-G72</f>
        <v/>
      </c>
      <c r="H73" s="26">
        <f>H70-H72</f>
        <v/>
      </c>
      <c r="I73" s="26">
        <f>I70-I72</f>
        <v/>
      </c>
      <c r="J73" s="26">
        <f>J70-J72</f>
        <v/>
      </c>
      <c r="K73" s="26">
        <f>K70-K72</f>
        <v/>
      </c>
      <c r="L73" s="26">
        <f>L70-L72</f>
        <v/>
      </c>
      <c r="M73" s="26">
        <f>M70-M72</f>
        <v/>
      </c>
      <c r="N73" s="10" t="inlineStr">
        <is>
          <t>$M</t>
        </is>
      </c>
      <c r="O73" s="10" t="inlineStr"/>
    </row>
    <row r="74">
      <c r="B74" s="7" t="inlineStr">
        <is>
          <t>Gross margin %</t>
        </is>
      </c>
      <c r="C74" s="19">
        <f>IF(C70=0,0,C73/C70)</f>
        <v/>
      </c>
      <c r="D74" s="19">
        <f>IF(D70=0,0,D73/D70)</f>
        <v/>
      </c>
      <c r="E74" s="19">
        <f>IF(E70=0,0,E73/E70)</f>
        <v/>
      </c>
      <c r="F74" s="19">
        <f>IF(F70=0,0,F73/F70)</f>
        <v/>
      </c>
      <c r="G74" s="19">
        <f>IF(G70=0,0,G73/G70)</f>
        <v/>
      </c>
      <c r="H74" s="19">
        <f>IF(H70=0,0,H73/H70)</f>
        <v/>
      </c>
      <c r="I74" s="19">
        <f>IF(I70=0,0,I73/I70)</f>
        <v/>
      </c>
      <c r="J74" s="19">
        <f>IF(J70=0,0,J73/J70)</f>
        <v/>
      </c>
      <c r="K74" s="19">
        <f>IF(K70=0,0,K73/K70)</f>
        <v/>
      </c>
      <c r="L74" s="19">
        <f>IF(L70=0,0,L73/L70)</f>
        <v/>
      </c>
      <c r="M74" s="19">
        <f>IF(M70=0,0,M73/M70)</f>
        <v/>
      </c>
      <c r="N74" s="10" t="inlineStr">
        <is>
          <t>%</t>
        </is>
      </c>
      <c r="O74" s="10" t="inlineStr"/>
    </row>
    <row r="75">
      <c r="B75" s="7" t="inlineStr">
        <is>
          <t>Variable SG&amp;A</t>
        </is>
      </c>
      <c r="C75" s="20" t="n">
        <v>0</v>
      </c>
      <c r="D75" s="21">
        <f>D70*D47</f>
        <v/>
      </c>
      <c r="E75" s="21">
        <f>E70*E47</f>
        <v/>
      </c>
      <c r="F75" s="21">
        <f>F70*F47</f>
        <v/>
      </c>
      <c r="G75" s="21">
        <f>G70*G47</f>
        <v/>
      </c>
      <c r="H75" s="21">
        <f>H70*H47</f>
        <v/>
      </c>
      <c r="I75" s="21">
        <f>I70*I47</f>
        <v/>
      </c>
      <c r="J75" s="21">
        <f>J70*J47</f>
        <v/>
      </c>
      <c r="K75" s="21">
        <f>K70*K47</f>
        <v/>
      </c>
      <c r="L75" s="21">
        <f>L70*L47</f>
        <v/>
      </c>
      <c r="M75" s="21">
        <f>M70*M47</f>
        <v/>
      </c>
      <c r="N75" s="10" t="inlineStr">
        <is>
          <t>$M</t>
        </is>
      </c>
      <c r="O75" s="10" t="inlineStr"/>
    </row>
    <row r="76">
      <c r="B76" s="7" t="inlineStr">
        <is>
          <t>Fixed SG&amp;A (net of cost savings)</t>
        </is>
      </c>
      <c r="C76" s="20" t="n">
        <v>56</v>
      </c>
      <c r="D76" s="21">
        <f>C76*(1+D48)-D49</f>
        <v/>
      </c>
      <c r="E76" s="21">
        <f>D76*(1+E48)-E49</f>
        <v/>
      </c>
      <c r="F76" s="21">
        <f>E76*(1+F48)-F49</f>
        <v/>
      </c>
      <c r="G76" s="21">
        <f>F76*(1+G48)-G49</f>
        <v/>
      </c>
      <c r="H76" s="21">
        <f>G76*(1+H48)-H49</f>
        <v/>
      </c>
      <c r="I76" s="21">
        <f>H76*(1+I48)-I49</f>
        <v/>
      </c>
      <c r="J76" s="21">
        <f>I76*(1+J48)-J49</f>
        <v/>
      </c>
      <c r="K76" s="21">
        <f>J76*(1+K48)-K49</f>
        <v/>
      </c>
      <c r="L76" s="21">
        <f>K76*(1+L48)-L49</f>
        <v/>
      </c>
      <c r="M76" s="21">
        <f>L76*(1+M48)-M49</f>
        <v/>
      </c>
      <c r="N76" s="10" t="inlineStr">
        <is>
          <t>$M</t>
        </is>
      </c>
      <c r="O76" s="10" t="inlineStr">
        <is>
          <t>Last Yr fixed SG&amp;A = segment SG&amp;A less variable component.</t>
        </is>
      </c>
    </row>
    <row r="77">
      <c r="B77" s="7" t="inlineStr">
        <is>
          <t>Total SG&amp;A</t>
        </is>
      </c>
      <c r="C77" s="21">
        <f>C75+C76</f>
        <v/>
      </c>
      <c r="D77" s="21">
        <f>D75+D76</f>
        <v/>
      </c>
      <c r="E77" s="21">
        <f>E75+E76</f>
        <v/>
      </c>
      <c r="F77" s="21">
        <f>F75+F76</f>
        <v/>
      </c>
      <c r="G77" s="21">
        <f>G75+G76</f>
        <v/>
      </c>
      <c r="H77" s="21">
        <f>H75+H76</f>
        <v/>
      </c>
      <c r="I77" s="21">
        <f>I75+I76</f>
        <v/>
      </c>
      <c r="J77" s="21">
        <f>J75+J76</f>
        <v/>
      </c>
      <c r="K77" s="21">
        <f>K75+K76</f>
        <v/>
      </c>
      <c r="L77" s="21">
        <f>L75+L76</f>
        <v/>
      </c>
      <c r="M77" s="21">
        <f>M75+M76</f>
        <v/>
      </c>
      <c r="N77" s="10" t="inlineStr">
        <is>
          <t>$M</t>
        </is>
      </c>
      <c r="O77" s="10" t="inlineStr"/>
    </row>
    <row r="78">
      <c r="B78" s="7" t="inlineStr">
        <is>
          <t>SG&amp;A % of sales</t>
        </is>
      </c>
      <c r="C78" s="19">
        <f>IF(C70=0,0,C77/C70)</f>
        <v/>
      </c>
      <c r="D78" s="19">
        <f>IF(D70=0,0,D77/D70)</f>
        <v/>
      </c>
      <c r="E78" s="19">
        <f>IF(E70=0,0,E77/E70)</f>
        <v/>
      </c>
      <c r="F78" s="19">
        <f>IF(F70=0,0,F77/F70)</f>
        <v/>
      </c>
      <c r="G78" s="19">
        <f>IF(G70=0,0,G77/G70)</f>
        <v/>
      </c>
      <c r="H78" s="19">
        <f>IF(H70=0,0,H77/H70)</f>
        <v/>
      </c>
      <c r="I78" s="19">
        <f>IF(I70=0,0,I77/I70)</f>
        <v/>
      </c>
      <c r="J78" s="19">
        <f>IF(J70=0,0,J77/J70)</f>
        <v/>
      </c>
      <c r="K78" s="19">
        <f>IF(K70=0,0,K77/K70)</f>
        <v/>
      </c>
      <c r="L78" s="19">
        <f>IF(L70=0,0,L77/L70)</f>
        <v/>
      </c>
      <c r="M78" s="19">
        <f>IF(M70=0,0,M77/M70)</f>
        <v/>
      </c>
      <c r="N78" s="10" t="inlineStr">
        <is>
          <t>%</t>
        </is>
      </c>
      <c r="O78" s="10" t="inlineStr"/>
    </row>
    <row r="79">
      <c r="B79" s="7" t="inlineStr">
        <is>
          <t>Other operating income / (expense)</t>
        </is>
      </c>
      <c r="C79" s="20" t="n">
        <v>-23</v>
      </c>
      <c r="D79" s="21">
        <f>D50</f>
        <v/>
      </c>
      <c r="E79" s="21">
        <f>E50</f>
        <v/>
      </c>
      <c r="F79" s="21">
        <f>F50</f>
        <v/>
      </c>
      <c r="G79" s="21">
        <f>G50</f>
        <v/>
      </c>
      <c r="H79" s="21">
        <f>H50</f>
        <v/>
      </c>
      <c r="I79" s="21">
        <f>I50</f>
        <v/>
      </c>
      <c r="J79" s="21">
        <f>J50</f>
        <v/>
      </c>
      <c r="K79" s="21">
        <f>K50</f>
        <v/>
      </c>
      <c r="L79" s="21">
        <f>L50</f>
        <v/>
      </c>
      <c r="M79" s="21">
        <f>M50</f>
        <v/>
      </c>
      <c r="N79" s="10" t="inlineStr">
        <is>
          <t>$M</t>
        </is>
      </c>
      <c r="O79" s="10" t="inlineStr">
        <is>
          <t>Last Yr: impairments &amp; restructuring (consolidated -128.3); projection = one-time assumption row.</t>
        </is>
      </c>
    </row>
    <row r="80">
      <c r="B80" s="3" t="inlineStr">
        <is>
          <t>OPERATING INCOME</t>
        </is>
      </c>
      <c r="C80" s="26">
        <f>C73-C77+C79</f>
        <v/>
      </c>
      <c r="D80" s="26">
        <f>D73-D77+D79</f>
        <v/>
      </c>
      <c r="E80" s="26">
        <f>E73-E77+E79</f>
        <v/>
      </c>
      <c r="F80" s="26">
        <f>F73-F77+F79</f>
        <v/>
      </c>
      <c r="G80" s="26">
        <f>G73-G77+G79</f>
        <v/>
      </c>
      <c r="H80" s="26">
        <f>H73-H77+H79</f>
        <v/>
      </c>
      <c r="I80" s="26">
        <f>I73-I77+I79</f>
        <v/>
      </c>
      <c r="J80" s="26">
        <f>J73-J77+J79</f>
        <v/>
      </c>
      <c r="K80" s="26">
        <f>K73-K77+K79</f>
        <v/>
      </c>
      <c r="L80" s="26">
        <f>L73-L77+L79</f>
        <v/>
      </c>
      <c r="M80" s="26">
        <f>M73-M77+M79</f>
        <v/>
      </c>
      <c r="N80" s="10" t="inlineStr">
        <is>
          <t>$M</t>
        </is>
      </c>
      <c r="O80" s="10" t="inlineStr">
        <is>
          <t>FY2026A ties to reported segment operating income.</t>
        </is>
      </c>
    </row>
    <row r="81">
      <c r="B81" s="7" t="inlineStr">
        <is>
          <t>Operating margin %</t>
        </is>
      </c>
      <c r="C81" s="19">
        <f>IF(C70=0,0,C80/C70)</f>
        <v/>
      </c>
      <c r="D81" s="19">
        <f>IF(D70=0,0,D80/D70)</f>
        <v/>
      </c>
      <c r="E81" s="19">
        <f>IF(E70=0,0,E80/E70)</f>
        <v/>
      </c>
      <c r="F81" s="19">
        <f>IF(F70=0,0,F80/F70)</f>
        <v/>
      </c>
      <c r="G81" s="19">
        <f>IF(G70=0,0,G80/G70)</f>
        <v/>
      </c>
      <c r="H81" s="19">
        <f>IF(H70=0,0,H80/H70)</f>
        <v/>
      </c>
      <c r="I81" s="19">
        <f>IF(I70=0,0,I80/I70)</f>
        <v/>
      </c>
      <c r="J81" s="19">
        <f>IF(J70=0,0,J80/J70)</f>
        <v/>
      </c>
      <c r="K81" s="19">
        <f>IF(K70=0,0,K80/K70)</f>
        <v/>
      </c>
      <c r="L81" s="19">
        <f>IF(L70=0,0,L80/L70)</f>
        <v/>
      </c>
      <c r="M81" s="19">
        <f>IF(M70=0,0,M80/M70)</f>
        <v/>
      </c>
      <c r="N81" s="10" t="inlineStr">
        <is>
          <t>%</t>
        </is>
      </c>
      <c r="O81" s="10" t="inlineStr"/>
    </row>
    <row r="82">
      <c r="B82" s="7" t="inlineStr">
        <is>
          <t>Interest income on invested assets (yield x prior-year cash)</t>
        </is>
      </c>
      <c r="C82" s="20" t="n">
        <v>0</v>
      </c>
      <c r="D82" s="21">
        <f>C104*D51</f>
        <v/>
      </c>
      <c r="E82" s="21">
        <f>D104*E51</f>
        <v/>
      </c>
      <c r="F82" s="21">
        <f>E104*F51</f>
        <v/>
      </c>
      <c r="G82" s="21">
        <f>F104*G51</f>
        <v/>
      </c>
      <c r="H82" s="21">
        <f>G104*H51</f>
        <v/>
      </c>
      <c r="I82" s="21">
        <f>H104*I51</f>
        <v/>
      </c>
      <c r="J82" s="21">
        <f>I104*J51</f>
        <v/>
      </c>
      <c r="K82" s="21">
        <f>J104*K51</f>
        <v/>
      </c>
      <c r="L82" s="21">
        <f>K104*L51</f>
        <v/>
      </c>
      <c r="M82" s="21">
        <f>L104*M51</f>
        <v/>
      </c>
      <c r="N82" s="10" t="inlineStr">
        <is>
          <t>$M</t>
        </is>
      </c>
      <c r="O82" s="10" t="inlineStr">
        <is>
          <t>Last Yr = allocated share of 4.0 net interest + 1.0 other non-operating income.</t>
        </is>
      </c>
    </row>
    <row r="83">
      <c r="B83" s="7" t="inlineStr">
        <is>
          <t>Interest expense on debt (rate x prior-year debt)</t>
        </is>
      </c>
      <c r="C83" s="20" t="n">
        <v>0</v>
      </c>
      <c r="D83" s="21">
        <f>C107*D52</f>
        <v/>
      </c>
      <c r="E83" s="21">
        <f>D107*E52</f>
        <v/>
      </c>
      <c r="F83" s="21">
        <f>E107*F52</f>
        <v/>
      </c>
      <c r="G83" s="21">
        <f>F107*G52</f>
        <v/>
      </c>
      <c r="H83" s="21">
        <f>G107*H52</f>
        <v/>
      </c>
      <c r="I83" s="21">
        <f>H107*I52</f>
        <v/>
      </c>
      <c r="J83" s="21">
        <f>I107*J52</f>
        <v/>
      </c>
      <c r="K83" s="21">
        <f>J107*K52</f>
        <v/>
      </c>
      <c r="L83" s="21">
        <f>K107*L52</f>
        <v/>
      </c>
      <c r="M83" s="21">
        <f>L107*M52</f>
        <v/>
      </c>
      <c r="N83" s="10" t="inlineStr">
        <is>
          <t>$M</t>
        </is>
      </c>
      <c r="O83" s="10" t="inlineStr"/>
    </row>
    <row r="84">
      <c r="B84" s="3" t="inlineStr">
        <is>
          <t>Income before income taxes</t>
        </is>
      </c>
      <c r="C84" s="26">
        <f>C80+C82-C83</f>
        <v/>
      </c>
      <c r="D84" s="26">
        <f>D80+D82-D83</f>
        <v/>
      </c>
      <c r="E84" s="26">
        <f>E80+E82-E83</f>
        <v/>
      </c>
      <c r="F84" s="26">
        <f>F80+F82-F83</f>
        <v/>
      </c>
      <c r="G84" s="26">
        <f>G80+G82-G83</f>
        <v/>
      </c>
      <c r="H84" s="26">
        <f>H80+H82-H83</f>
        <v/>
      </c>
      <c r="I84" s="26">
        <f>I80+I82-I83</f>
        <v/>
      </c>
      <c r="J84" s="26">
        <f>J80+J82-J83</f>
        <v/>
      </c>
      <c r="K84" s="26">
        <f>K80+K82-K83</f>
        <v/>
      </c>
      <c r="L84" s="26">
        <f>L80+L82-L83</f>
        <v/>
      </c>
      <c r="M84" s="26">
        <f>M80+M82-M83</f>
        <v/>
      </c>
      <c r="N84" s="10" t="inlineStr">
        <is>
          <t>$M</t>
        </is>
      </c>
      <c r="O84" s="10" t="inlineStr"/>
    </row>
    <row r="85">
      <c r="B85" s="7" t="inlineStr">
        <is>
          <t>Pre-tax margin %</t>
        </is>
      </c>
      <c r="C85" s="19">
        <f>IF(C70=0,0,C84/C70)</f>
        <v/>
      </c>
      <c r="D85" s="19">
        <f>IF(D70=0,0,D84/D70)</f>
        <v/>
      </c>
      <c r="E85" s="19">
        <f>IF(E70=0,0,E84/E70)</f>
        <v/>
      </c>
      <c r="F85" s="19">
        <f>IF(F70=0,0,F84/F70)</f>
        <v/>
      </c>
      <c r="G85" s="19">
        <f>IF(G70=0,0,G84/G70)</f>
        <v/>
      </c>
      <c r="H85" s="19">
        <f>IF(H70=0,0,H84/H70)</f>
        <v/>
      </c>
      <c r="I85" s="19">
        <f>IF(I70=0,0,I84/I70)</f>
        <v/>
      </c>
      <c r="J85" s="19">
        <f>IF(J70=0,0,J84/J70)</f>
        <v/>
      </c>
      <c r="K85" s="19">
        <f>IF(K70=0,0,K84/K70)</f>
        <v/>
      </c>
      <c r="L85" s="19">
        <f>IF(L70=0,0,L84/L70)</f>
        <v/>
      </c>
      <c r="M85" s="19">
        <f>IF(M70=0,0,M84/M70)</f>
        <v/>
      </c>
      <c r="N85" s="10" t="inlineStr">
        <is>
          <t>%</t>
        </is>
      </c>
      <c r="O85" s="10" t="inlineStr"/>
    </row>
    <row r="86">
      <c r="B86" s="7" t="inlineStr">
        <is>
          <t>Income taxes</t>
        </is>
      </c>
      <c r="C86" s="20" t="n">
        <v>-19.7</v>
      </c>
      <c r="D86" s="21">
        <f>D84*D53</f>
        <v/>
      </c>
      <c r="E86" s="21">
        <f>E84*E53</f>
        <v/>
      </c>
      <c r="F86" s="21">
        <f>F84*F53</f>
        <v/>
      </c>
      <c r="G86" s="21">
        <f>G84*G53</f>
        <v/>
      </c>
      <c r="H86" s="21">
        <f>H84*H53</f>
        <v/>
      </c>
      <c r="I86" s="21">
        <f>I84*I53</f>
        <v/>
      </c>
      <c r="J86" s="21">
        <f>J84*J53</f>
        <v/>
      </c>
      <c r="K86" s="21">
        <f>K84*K53</f>
        <v/>
      </c>
      <c r="L86" s="21">
        <f>L84*L53</f>
        <v/>
      </c>
      <c r="M86" s="21">
        <f>M84*M53</f>
        <v/>
      </c>
      <c r="N86" s="10" t="inlineStr">
        <is>
          <t>$M</t>
        </is>
      </c>
      <c r="O86" s="10" t="inlineStr">
        <is>
          <t>Last Yr = allocated share of 103.7 (26.0% effective rate).</t>
        </is>
      </c>
    </row>
    <row r="87">
      <c r="B87" s="3" t="inlineStr">
        <is>
          <t>NET INCOME</t>
        </is>
      </c>
      <c r="C87" s="26">
        <f>C84-C86</f>
        <v/>
      </c>
      <c r="D87" s="26">
        <f>D84-D86</f>
        <v/>
      </c>
      <c r="E87" s="26">
        <f>E84-E86</f>
        <v/>
      </c>
      <c r="F87" s="26">
        <f>F84-F86</f>
        <v/>
      </c>
      <c r="G87" s="26">
        <f>G84-G86</f>
        <v/>
      </c>
      <c r="H87" s="26">
        <f>H84-H86</f>
        <v/>
      </c>
      <c r="I87" s="26">
        <f>I84-I86</f>
        <v/>
      </c>
      <c r="J87" s="26">
        <f>J84-J86</f>
        <v/>
      </c>
      <c r="K87" s="26">
        <f>K84-K86</f>
        <v/>
      </c>
      <c r="L87" s="26">
        <f>L84-L86</f>
        <v/>
      </c>
      <c r="M87" s="26">
        <f>M84-M86</f>
        <v/>
      </c>
      <c r="N87" s="10" t="inlineStr">
        <is>
          <t>$M</t>
        </is>
      </c>
      <c r="O87" s="10" t="inlineStr"/>
    </row>
    <row r="88">
      <c r="B88" s="7" t="inlineStr">
        <is>
          <t>Net margin %</t>
        </is>
      </c>
      <c r="C88" s="19">
        <f>IF(C70=0,0,C87/C70)</f>
        <v/>
      </c>
      <c r="D88" s="19">
        <f>IF(D70=0,0,D87/D70)</f>
        <v/>
      </c>
      <c r="E88" s="19">
        <f>IF(E70=0,0,E87/E70)</f>
        <v/>
      </c>
      <c r="F88" s="19">
        <f>IF(F70=0,0,F87/F70)</f>
        <v/>
      </c>
      <c r="G88" s="19">
        <f>IF(G70=0,0,G87/G70)</f>
        <v/>
      </c>
      <c r="H88" s="19">
        <f>IF(H70=0,0,H87/H70)</f>
        <v/>
      </c>
      <c r="I88" s="19">
        <f>IF(I70=0,0,I87/I70)</f>
        <v/>
      </c>
      <c r="J88" s="19">
        <f>IF(J70=0,0,J87/J70)</f>
        <v/>
      </c>
      <c r="K88" s="19">
        <f>IF(K70=0,0,K87/K70)</f>
        <v/>
      </c>
      <c r="L88" s="19">
        <f>IF(L70=0,0,L87/L70)</f>
        <v/>
      </c>
      <c r="M88" s="19">
        <f>IF(M70=0,0,M87/M70)</f>
        <v/>
      </c>
      <c r="N88" s="10" t="inlineStr">
        <is>
          <t>%</t>
        </is>
      </c>
      <c r="O88" s="10" t="inlineStr"/>
    </row>
    <row r="89"/>
    <row r="90">
      <c r="A90" s="22" t="inlineStr">
        <is>
          <t>Valuation</t>
        </is>
      </c>
      <c r="B90" s="23" t="inlineStr">
        <is>
          <t>DISTRIBUTIONS &amp; VALUATION (profits-released approach)</t>
        </is>
      </c>
      <c r="C90" s="24" t="n"/>
      <c r="D90" s="24" t="n"/>
      <c r="E90" s="24" t="n"/>
      <c r="F90" s="24" t="n"/>
      <c r="G90" s="24" t="n"/>
      <c r="H90" s="24" t="n"/>
      <c r="I90" s="24" t="n"/>
      <c r="J90" s="24" t="n"/>
      <c r="K90" s="24" t="n"/>
      <c r="L90" s="24" t="n"/>
      <c r="M90" s="24" t="n"/>
      <c r="N90" s="24" t="n"/>
      <c r="O90" s="24" t="n"/>
    </row>
    <row r="91">
      <c r="B91" s="7" t="inlineStr">
        <is>
          <t>Distributions to shareholders (dividends + buybacks = net income)</t>
        </is>
      </c>
      <c r="C91" s="21">
        <f>C87</f>
        <v/>
      </c>
      <c r="D91" s="21">
        <f>D87</f>
        <v/>
      </c>
      <c r="E91" s="21">
        <f>E87</f>
        <v/>
      </c>
      <c r="F91" s="21">
        <f>F87</f>
        <v/>
      </c>
      <c r="G91" s="21">
        <f>G87</f>
        <v/>
      </c>
      <c r="H91" s="21">
        <f>H87</f>
        <v/>
      </c>
      <c r="I91" s="21">
        <f>I87</f>
        <v/>
      </c>
      <c r="J91" s="21">
        <f>J87</f>
        <v/>
      </c>
      <c r="K91" s="21">
        <f>K87</f>
        <v/>
      </c>
      <c r="L91" s="21">
        <f>L87</f>
        <v/>
      </c>
      <c r="M91" s="21">
        <f>M87</f>
        <v/>
      </c>
      <c r="N91" s="10" t="inlineStr">
        <is>
          <t>$M</t>
        </is>
      </c>
      <c r="O91" s="10" t="inlineStr">
        <is>
          <t>Profits released: 100% of net income distributed (dividends + buybacks).</t>
        </is>
      </c>
    </row>
    <row r="92">
      <c r="B92" s="7" t="inlineStr">
        <is>
          <t>Earnings retained in equity</t>
        </is>
      </c>
      <c r="C92" s="21">
        <f>C87-C91</f>
        <v/>
      </c>
      <c r="D92" s="21">
        <f>D87-D91</f>
        <v/>
      </c>
      <c r="E92" s="21">
        <f>E87-E91</f>
        <v/>
      </c>
      <c r="F92" s="21">
        <f>F87-F91</f>
        <v/>
      </c>
      <c r="G92" s="21">
        <f>G87-G91</f>
        <v/>
      </c>
      <c r="H92" s="21">
        <f>H87-H91</f>
        <v/>
      </c>
      <c r="I92" s="21">
        <f>I87-I91</f>
        <v/>
      </c>
      <c r="J92" s="21">
        <f>J87-J91</f>
        <v/>
      </c>
      <c r="K92" s="21">
        <f>K87-K91</f>
        <v/>
      </c>
      <c r="L92" s="21">
        <f>L87-L91</f>
        <v/>
      </c>
      <c r="M92" s="21">
        <f>M87-M91</f>
        <v/>
      </c>
      <c r="N92" s="10" t="inlineStr">
        <is>
          <t>$M</t>
        </is>
      </c>
      <c r="O92" s="10" t="inlineStr">
        <is>
          <t>Zero under profits released; would be positive under profits retained.</t>
        </is>
      </c>
    </row>
    <row r="93">
      <c r="B93" s="7" t="inlineStr">
        <is>
          <t>Distributable cash flow to shareholders (discounted below)</t>
        </is>
      </c>
      <c r="D93" s="21">
        <f>D91</f>
        <v/>
      </c>
      <c r="E93" s="21">
        <f>E91</f>
        <v/>
      </c>
      <c r="F93" s="21">
        <f>F91</f>
        <v/>
      </c>
      <c r="G93" s="21">
        <f>G91</f>
        <v/>
      </c>
      <c r="H93" s="21">
        <f>H91</f>
        <v/>
      </c>
      <c r="I93" s="21">
        <f>I91</f>
        <v/>
      </c>
      <c r="J93" s="21">
        <f>J91</f>
        <v/>
      </c>
      <c r="K93" s="21">
        <f>K91</f>
        <v/>
      </c>
      <c r="L93" s="21">
        <f>L91</f>
        <v/>
      </c>
      <c r="M93" s="21">
        <f>M91</f>
        <v/>
      </c>
      <c r="N93" s="10" t="inlineStr">
        <is>
          <t>$M</t>
        </is>
      </c>
      <c r="O93" s="10" t="inlineStr"/>
    </row>
    <row r="94">
      <c r="B94" s="7" t="inlineStr">
        <is>
          <t>Discount rate used (from scenario block)</t>
        </is>
      </c>
      <c r="C94" s="19">
        <f>D54</f>
        <v/>
      </c>
      <c r="N94" s="10" t="inlineStr">
        <is>
          <t>%</t>
        </is>
      </c>
      <c r="O94" s="10" t="inlineStr">
        <is>
          <t>Reads the scenario-run discount rate so a discount-rate shock flows through.</t>
        </is>
      </c>
    </row>
    <row r="95">
      <c r="B95" s="7" t="inlineStr">
        <is>
          <t>Terminal value = shareholders' equity at end of FY2036</t>
        </is>
      </c>
      <c r="C95" s="21">
        <f>M110</f>
        <v/>
      </c>
      <c r="N95" s="10" t="inlineStr">
        <is>
          <t>$M</t>
        </is>
      </c>
      <c r="O95" s="10" t="inlineStr"/>
    </row>
    <row r="96">
      <c r="B96" s="7" t="inlineStr">
        <is>
          <t>PV of FY2027-FY2036 distributable cash flows</t>
        </is>
      </c>
      <c r="C96" s="21">
        <f>NPV(C94,D93:M93)</f>
        <v/>
      </c>
      <c r="N96" s="10" t="inlineStr">
        <is>
          <t>$M</t>
        </is>
      </c>
      <c r="O96" s="10" t="inlineStr">
        <is>
          <t>NPV over the 10 model years (end-of-year cash flows).</t>
        </is>
      </c>
    </row>
    <row r="97">
      <c r="B97" s="7" t="inlineStr">
        <is>
          <t>PV of terminal value</t>
        </is>
      </c>
      <c r="C97" s="21">
        <f>C95/(1+C94)^10</f>
        <v/>
      </c>
      <c r="N97" s="10" t="inlineStr">
        <is>
          <t>$M</t>
        </is>
      </c>
      <c r="O97" s="10" t="inlineStr">
        <is>
          <t>Terminal equity discounted 10 years.</t>
        </is>
      </c>
    </row>
    <row r="98">
      <c r="B98" s="3" t="inlineStr">
        <is>
          <t>SEGMENT VALUE - BASELINE (snapshot, hard-coded for 3(d) comparison)</t>
        </is>
      </c>
      <c r="C98" s="27" t="n">
        <v>-263.36</v>
      </c>
      <c r="N98" s="10" t="inlineStr">
        <is>
          <t>$M</t>
        </is>
      </c>
      <c r="O98" s="10" t="inlineStr">
        <is>
          <t>Hard-coded copy of the live value (blue). In 3(d), shocks move the SCENARIO value; this stays fixed.</t>
        </is>
      </c>
    </row>
    <row r="99">
      <c r="B99" s="3" t="inlineStr">
        <is>
          <t>SEGMENT VALUE - SCENARIO RUN (live formula)</t>
        </is>
      </c>
      <c r="C99" s="26">
        <f>C96+C97</f>
        <v/>
      </c>
      <c r="N99" s="10" t="inlineStr">
        <is>
          <t>$M</t>
        </is>
      </c>
      <c r="O99" s="10" t="inlineStr">
        <is>
          <t>PV of distributable cash flows + PV of terminal equity.</t>
        </is>
      </c>
    </row>
    <row r="100">
      <c r="B100" s="7" t="inlineStr">
        <is>
          <t>% change vs baseline</t>
        </is>
      </c>
      <c r="C100" s="19">
        <f>IF(C98=0,0,C99/C98-1)</f>
        <v/>
      </c>
      <c r="N100" s="10" t="inlineStr">
        <is>
          <t>%</t>
        </is>
      </c>
      <c r="O100" s="10" t="inlineStr"/>
    </row>
    <row r="101">
      <c r="B101" s="7" t="inlineStr">
        <is>
          <t>$ change vs baseline</t>
        </is>
      </c>
      <c r="C101" s="21">
        <f>C99-C98</f>
        <v/>
      </c>
      <c r="N101" s="10" t="inlineStr">
        <is>
          <t>$M</t>
        </is>
      </c>
      <c r="O101" s="10" t="inlineStr"/>
    </row>
    <row r="102"/>
    <row r="103">
      <c r="A103" s="22" t="inlineStr">
        <is>
          <t>Balance sheet</t>
        </is>
      </c>
      <c r="B103" s="23" t="inlineStr">
        <is>
          <t>BALANCE SHEET (simplified, cash basis, year-end)</t>
        </is>
      </c>
      <c r="C103" s="24" t="n"/>
      <c r="D103" s="24" t="n"/>
      <c r="E103" s="24" t="n"/>
      <c r="F103" s="24" t="n"/>
      <c r="G103" s="24" t="n"/>
      <c r="H103" s="24" t="n"/>
      <c r="I103" s="24" t="n"/>
      <c r="J103" s="24" t="n"/>
      <c r="K103" s="24" t="n"/>
      <c r="L103" s="24" t="n"/>
      <c r="M103" s="24" t="n"/>
      <c r="N103" s="24" t="n"/>
      <c r="O103" s="24" t="n"/>
    </row>
    <row r="104">
      <c r="B104" s="7" t="inlineStr">
        <is>
          <t>Invested assets (cash &amp; cash equivalents)</t>
        </is>
      </c>
      <c r="C104" s="20" t="n">
        <v>5.1</v>
      </c>
      <c r="D104" s="21">
        <f>C104+D92</f>
        <v/>
      </c>
      <c r="E104" s="21">
        <f>D104+E92</f>
        <v/>
      </c>
      <c r="F104" s="21">
        <f>E104+F92</f>
        <v/>
      </c>
      <c r="G104" s="21">
        <f>F104+G92</f>
        <v/>
      </c>
      <c r="H104" s="21">
        <f>G104+H92</f>
        <v/>
      </c>
      <c r="I104" s="21">
        <f>H104+I92</f>
        <v/>
      </c>
      <c r="J104" s="21">
        <f>I104+J92</f>
        <v/>
      </c>
      <c r="K104" s="21">
        <f>J104+K92</f>
        <v/>
      </c>
      <c r="L104" s="21">
        <f>K104+L92</f>
        <v/>
      </c>
      <c r="M104" s="21">
        <f>L104+M92</f>
        <v/>
      </c>
      <c r="N104" s="10" t="inlineStr">
        <is>
          <t>$M</t>
        </is>
      </c>
      <c r="O104" s="10" t="inlineStr">
        <is>
          <t>Static under profits released (grows only by retained earnings).</t>
        </is>
      </c>
    </row>
    <row r="105">
      <c r="B105" s="7" t="inlineStr">
        <is>
          <t>Inventory and other non-depreciating operating assets</t>
        </is>
      </c>
      <c r="C105" s="20" t="n">
        <v>11.2</v>
      </c>
      <c r="D105" s="21">
        <f>C105</f>
        <v/>
      </c>
      <c r="E105" s="21">
        <f>D105</f>
        <v/>
      </c>
      <c r="F105" s="21">
        <f>E105</f>
        <v/>
      </c>
      <c r="G105" s="21">
        <f>F105</f>
        <v/>
      </c>
      <c r="H105" s="21">
        <f>G105</f>
        <v/>
      </c>
      <c r="I105" s="21">
        <f>H105</f>
        <v/>
      </c>
      <c r="J105" s="21">
        <f>I105</f>
        <v/>
      </c>
      <c r="K105" s="21">
        <f>J105</f>
        <v/>
      </c>
      <c r="L105" s="21">
        <f>K105</f>
        <v/>
      </c>
      <c r="M105" s="21">
        <f>L105</f>
        <v/>
      </c>
      <c r="N105" s="10" t="inlineStr">
        <is>
          <t>$M</t>
        </is>
      </c>
      <c r="O105" s="10" t="inlineStr">
        <is>
          <t>Non-depreciating operating asset held flat (no working-capital build modelled).</t>
        </is>
      </c>
    </row>
    <row r="106">
      <c r="B106" s="3" t="inlineStr">
        <is>
          <t>Total assets</t>
        </is>
      </c>
      <c r="C106" s="26">
        <f>C104+C105</f>
        <v/>
      </c>
      <c r="D106" s="26">
        <f>D104+D105</f>
        <v/>
      </c>
      <c r="E106" s="26">
        <f>E104+E105</f>
        <v/>
      </c>
      <c r="F106" s="26">
        <f>F104+F105</f>
        <v/>
      </c>
      <c r="G106" s="26">
        <f>G104+G105</f>
        <v/>
      </c>
      <c r="H106" s="26">
        <f>H104+H105</f>
        <v/>
      </c>
      <c r="I106" s="26">
        <f>I104+I105</f>
        <v/>
      </c>
      <c r="J106" s="26">
        <f>J104+J105</f>
        <v/>
      </c>
      <c r="K106" s="26">
        <f>K104+K105</f>
        <v/>
      </c>
      <c r="L106" s="26">
        <f>L104+L105</f>
        <v/>
      </c>
      <c r="M106" s="26">
        <f>M104+M105</f>
        <v/>
      </c>
      <c r="N106" s="10" t="inlineStr">
        <is>
          <t>$M</t>
        </is>
      </c>
      <c r="O106" s="10" t="inlineStr"/>
    </row>
    <row r="107">
      <c r="B107" s="7" t="inlineStr">
        <is>
          <t>Debt</t>
        </is>
      </c>
      <c r="C107" s="20" t="n">
        <v>0</v>
      </c>
      <c r="D107" s="21">
        <f>C107</f>
        <v/>
      </c>
      <c r="E107" s="21">
        <f>D107</f>
        <v/>
      </c>
      <c r="F107" s="21">
        <f>E107</f>
        <v/>
      </c>
      <c r="G107" s="21">
        <f>F107</f>
        <v/>
      </c>
      <c r="H107" s="21">
        <f>G107</f>
        <v/>
      </c>
      <c r="I107" s="21">
        <f>H107</f>
        <v/>
      </c>
      <c r="J107" s="21">
        <f>I107</f>
        <v/>
      </c>
      <c r="K107" s="21">
        <f>J107</f>
        <v/>
      </c>
      <c r="L107" s="21">
        <f>K107</f>
        <v/>
      </c>
      <c r="M107" s="21">
        <f>L107</f>
        <v/>
      </c>
      <c r="N107" s="10" t="inlineStr">
        <is>
          <t>$M</t>
        </is>
      </c>
      <c r="O107" s="10" t="inlineStr"/>
    </row>
    <row r="108">
      <c r="B108" s="7" t="inlineStr">
        <is>
          <t>Other liabilities, net (calibrated to reported equity)</t>
        </is>
      </c>
      <c r="C108" s="20" t="n">
        <v>4.9</v>
      </c>
      <c r="D108" s="21">
        <f>C108</f>
        <v/>
      </c>
      <c r="E108" s="21">
        <f>D108</f>
        <v/>
      </c>
      <c r="F108" s="21">
        <f>E108</f>
        <v/>
      </c>
      <c r="G108" s="21">
        <f>F108</f>
        <v/>
      </c>
      <c r="H108" s="21">
        <f>G108</f>
        <v/>
      </c>
      <c r="I108" s="21">
        <f>H108</f>
        <v/>
      </c>
      <c r="J108" s="21">
        <f>I108</f>
        <v/>
      </c>
      <c r="K108" s="21">
        <f>J108</f>
        <v/>
      </c>
      <c r="L108" s="21">
        <f>K108</f>
        <v/>
      </c>
      <c r="M108" s="21">
        <f>L108</f>
        <v/>
      </c>
      <c r="N108" s="10" t="inlineStr">
        <is>
          <t>$M</t>
        </is>
      </c>
      <c r="O108" s="10" t="inlineStr">
        <is>
          <t>Plug so that FY2026A simplified equity = reported shareholders' equity 1,966.2.</t>
        </is>
      </c>
    </row>
    <row r="109">
      <c r="B109" s="3" t="inlineStr">
        <is>
          <t>Total liabilities</t>
        </is>
      </c>
      <c r="C109" s="26">
        <f>C107+C108</f>
        <v/>
      </c>
      <c r="D109" s="26">
        <f>D107+D108</f>
        <v/>
      </c>
      <c r="E109" s="26">
        <f>E107+E108</f>
        <v/>
      </c>
      <c r="F109" s="26">
        <f>F107+F108</f>
        <v/>
      </c>
      <c r="G109" s="26">
        <f>G107+G108</f>
        <v/>
      </c>
      <c r="H109" s="26">
        <f>H107+H108</f>
        <v/>
      </c>
      <c r="I109" s="26">
        <f>I107+I108</f>
        <v/>
      </c>
      <c r="J109" s="26">
        <f>J107+J108</f>
        <v/>
      </c>
      <c r="K109" s="26">
        <f>K107+K108</f>
        <v/>
      </c>
      <c r="L109" s="26">
        <f>L107+L108</f>
        <v/>
      </c>
      <c r="M109" s="26">
        <f>M107+M108</f>
        <v/>
      </c>
      <c r="N109" s="10" t="inlineStr">
        <is>
          <t>$M</t>
        </is>
      </c>
      <c r="O109" s="10" t="inlineStr"/>
    </row>
    <row r="110">
      <c r="B110" s="3" t="inlineStr">
        <is>
          <t>SHAREHOLDERS' EQUITY</t>
        </is>
      </c>
      <c r="C110" s="26">
        <f>C106-C109</f>
        <v/>
      </c>
      <c r="D110" s="26">
        <f>D106-D109</f>
        <v/>
      </c>
      <c r="E110" s="26">
        <f>E106-E109</f>
        <v/>
      </c>
      <c r="F110" s="26">
        <f>F106-F109</f>
        <v/>
      </c>
      <c r="G110" s="26">
        <f>G106-G109</f>
        <v/>
      </c>
      <c r="H110" s="26">
        <f>H106-H109</f>
        <v/>
      </c>
      <c r="I110" s="26">
        <f>I106-I109</f>
        <v/>
      </c>
      <c r="J110" s="26">
        <f>J106-J109</f>
        <v/>
      </c>
      <c r="K110" s="26">
        <f>K106-K109</f>
        <v/>
      </c>
      <c r="L110" s="26">
        <f>L106-L109</f>
        <v/>
      </c>
      <c r="M110" s="26">
        <f>M106-M109</f>
        <v/>
      </c>
      <c r="N110" s="10" t="inlineStr">
        <is>
          <t>$M</t>
        </is>
      </c>
      <c r="O110" s="10" t="inlineStr">
        <is>
          <t>FY2026A total = 1,966.2 reported shareholders' equity.</t>
        </is>
      </c>
    </row>
    <row r="111">
      <c r="B111" s="7" t="inlineStr">
        <is>
          <t>Equity roll-forward check: Equity(t) - [Equity(t-1) + Net income(t) - Distributions(t)]  (= 0)</t>
        </is>
      </c>
      <c r="D111" s="21">
        <f>D110-(C110+D87-D91)</f>
        <v/>
      </c>
      <c r="E111" s="21">
        <f>E110-(D110+E87-E91)</f>
        <v/>
      </c>
      <c r="F111" s="21">
        <f>F110-(E110+F87-F91)</f>
        <v/>
      </c>
      <c r="G111" s="21">
        <f>G110-(F110+G87-G91)</f>
        <v/>
      </c>
      <c r="H111" s="21">
        <f>H110-(G110+H87-H91)</f>
        <v/>
      </c>
      <c r="I111" s="21">
        <f>I110-(H110+I87-I91)</f>
        <v/>
      </c>
      <c r="J111" s="21">
        <f>J110-(I110+J87-J91)</f>
        <v/>
      </c>
      <c r="K111" s="21">
        <f>K110-(J110+K87-K91)</f>
        <v/>
      </c>
      <c r="L111" s="21">
        <f>L110-(K110+L87-L91)</f>
        <v/>
      </c>
      <c r="M111" s="21">
        <f>M110-(L110+M87-M91)</f>
        <v/>
      </c>
      <c r="N111" s="10" t="inlineStr">
        <is>
          <t>$M</t>
        </is>
      </c>
      <c r="O111" s="10" t="inlineStr"/>
    </row>
    <row r="112">
      <c r="B112" s="7" t="inlineStr">
        <is>
          <t>Balance check: Total assets - Total liabilities - Equity  (= 0)</t>
        </is>
      </c>
      <c r="C112" s="21">
        <f>C106-C109-C110</f>
        <v/>
      </c>
      <c r="D112" s="21">
        <f>D106-D109-D110</f>
        <v/>
      </c>
      <c r="E112" s="21">
        <f>E106-E109-E110</f>
        <v/>
      </c>
      <c r="F112" s="21">
        <f>F106-F109-F110</f>
        <v/>
      </c>
      <c r="G112" s="21">
        <f>G106-G109-G110</f>
        <v/>
      </c>
      <c r="H112" s="21">
        <f>H106-H109-H110</f>
        <v/>
      </c>
      <c r="I112" s="21">
        <f>I106-I109-I110</f>
        <v/>
      </c>
      <c r="J112" s="21">
        <f>J106-J109-J110</f>
        <v/>
      </c>
      <c r="K112" s="21">
        <f>K106-K109-K110</f>
        <v/>
      </c>
      <c r="L112" s="21">
        <f>L106-L109-L110</f>
        <v/>
      </c>
      <c r="M112" s="21">
        <f>M106-M109-M110</f>
        <v/>
      </c>
      <c r="N112" s="10" t="inlineStr">
        <is>
          <t>$M</t>
        </is>
      </c>
      <c r="O112" s="10" t="inlineStr"/>
    </row>
  </sheetData>
  <pageMargins left="0.75" right="0.75" top="1" bottom="1" header="0.5" footer="0.5"/>
  <pageSetup orientation="landscape" paperSize="1"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O128"/>
  <sheetViews>
    <sheetView zoomScale="9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66" customWidth="1" min="2" max="2"/>
    <col width="17"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7" customWidth="1" min="14" max="14"/>
    <col width="60" customWidth="1" min="15" max="15"/>
  </cols>
  <sheetData>
    <row r="1">
      <c r="A1" s="1" t="inlineStr">
        <is>
          <t>Signet Jewelers - Baseline Value-Based ERM Model - TOTAL COMPANY (sum of Model - NA, Model - INTL, Model - OTHER)</t>
        </is>
      </c>
    </row>
    <row r="2">
      <c r="A2" s="10" t="inlineStr">
        <is>
          <t>Same layout as the segment tabs. The three assumption blocks are intentionally blank: assumptions are applied at the business-segment level. Every financial-statement line is the sum of the three segment tabs (green); ratios and key metrics are recomputed here at the total-company level.</t>
        </is>
      </c>
    </row>
    <row r="3">
      <c r="A3" s="11" t="inlineStr">
        <is>
          <t>Section</t>
        </is>
      </c>
      <c r="B3" s="11" t="inlineStr">
        <is>
          <t>Line item</t>
        </is>
      </c>
      <c r="C3" s="15" t="inlineStr">
        <is>
          <t>Last Yr (FY2026A)</t>
        </is>
      </c>
      <c r="D3" s="15" t="inlineStr">
        <is>
          <t>FY2027</t>
        </is>
      </c>
      <c r="E3" s="15" t="inlineStr">
        <is>
          <t>FY2028</t>
        </is>
      </c>
      <c r="F3" s="15" t="inlineStr">
        <is>
          <t>FY2029</t>
        </is>
      </c>
      <c r="G3" s="15" t="inlineStr">
        <is>
          <t>FY2030</t>
        </is>
      </c>
      <c r="H3" s="15" t="inlineStr">
        <is>
          <t>FY2031</t>
        </is>
      </c>
      <c r="I3" s="15" t="inlineStr">
        <is>
          <t>FY2032</t>
        </is>
      </c>
      <c r="J3" s="15" t="inlineStr">
        <is>
          <t>FY2033</t>
        </is>
      </c>
      <c r="K3" s="15" t="inlineStr">
        <is>
          <t>FY2034</t>
        </is>
      </c>
      <c r="L3" s="15" t="inlineStr">
        <is>
          <t>FY2035</t>
        </is>
      </c>
      <c r="M3" s="15" t="inlineStr">
        <is>
          <t>FY2036</t>
        </is>
      </c>
      <c r="N3" s="11" t="inlineStr">
        <is>
          <t>Units</t>
        </is>
      </c>
      <c r="O3" s="11" t="inlineStr">
        <is>
          <t>Notes</t>
        </is>
      </c>
    </row>
    <row r="4"/>
    <row r="5">
      <c r="A5" s="12" t="inlineStr">
        <is>
          <t>BASELINE ASSUMPTIONS - blank at total level (set in the segment tabs)</t>
        </is>
      </c>
      <c r="B5" s="13" t="n"/>
      <c r="C5" s="13" t="n"/>
      <c r="D5" s="13" t="n"/>
      <c r="E5" s="13" t="n"/>
      <c r="F5" s="13" t="n"/>
      <c r="G5" s="13" t="n"/>
      <c r="H5" s="13" t="n"/>
      <c r="I5" s="13" t="n"/>
      <c r="J5" s="13" t="n"/>
      <c r="K5" s="13" t="n"/>
      <c r="L5" s="13" t="n"/>
      <c r="M5" s="13" t="n"/>
      <c r="N5" s="13" t="n"/>
      <c r="O5" s="13" t="n"/>
    </row>
    <row r="6">
      <c r="B6" s="7" t="inlineStr">
        <is>
          <t>Gross store openings (number of stores)</t>
        </is>
      </c>
      <c r="C6" s="28" t="n"/>
      <c r="D6" s="28" t="n"/>
      <c r="E6" s="28" t="n"/>
      <c r="F6" s="28" t="n"/>
      <c r="G6" s="28" t="n"/>
      <c r="H6" s="28" t="n"/>
      <c r="I6" s="28" t="n"/>
      <c r="J6" s="28" t="n"/>
      <c r="K6" s="28" t="n"/>
      <c r="L6" s="28" t="n"/>
      <c r="M6" s="28" t="n"/>
      <c r="N6" s="10" t="inlineStr">
        <is>
          <t># stores</t>
        </is>
      </c>
      <c r="O6" s="10" t="inlineStr">
        <is>
          <t>n/a - segment-level assumption</t>
        </is>
      </c>
    </row>
    <row r="7">
      <c r="B7" s="7" t="inlineStr">
        <is>
          <t>Store closures (number of stores)</t>
        </is>
      </c>
      <c r="C7" s="28" t="n"/>
      <c r="D7" s="28" t="n"/>
      <c r="E7" s="28" t="n"/>
      <c r="F7" s="28" t="n"/>
      <c r="G7" s="28" t="n"/>
      <c r="H7" s="28" t="n"/>
      <c r="I7" s="28" t="n"/>
      <c r="J7" s="28" t="n"/>
      <c r="K7" s="28" t="n"/>
      <c r="L7" s="28" t="n"/>
      <c r="M7" s="28" t="n"/>
      <c r="N7" s="10" t="inlineStr">
        <is>
          <t># stores</t>
        </is>
      </c>
      <c r="O7" s="10" t="inlineStr">
        <is>
          <t>n/a - segment-level assumption</t>
        </is>
      </c>
    </row>
    <row r="8">
      <c r="B8" s="7" t="inlineStr">
        <is>
          <t>Same-store sales growth (applied to merchandise sales per average store)</t>
        </is>
      </c>
      <c r="C8" s="28" t="n"/>
      <c r="D8" s="28" t="n"/>
      <c r="E8" s="28" t="n"/>
      <c r="F8" s="28" t="n"/>
      <c r="G8" s="28" t="n"/>
      <c r="H8" s="28" t="n"/>
      <c r="I8" s="28" t="n"/>
      <c r="J8" s="28" t="n"/>
      <c r="K8" s="28" t="n"/>
      <c r="L8" s="28" t="n"/>
      <c r="M8" s="28" t="n"/>
      <c r="N8" s="10" t="inlineStr">
        <is>
          <t>% p.a.</t>
        </is>
      </c>
      <c r="O8" s="10" t="inlineStr">
        <is>
          <t>n/a - segment-level assumption</t>
        </is>
      </c>
    </row>
    <row r="9">
      <c r="B9" s="7" t="inlineStr">
        <is>
          <t>E-commerce merchandise sales growth</t>
        </is>
      </c>
      <c r="C9" s="28" t="n"/>
      <c r="D9" s="28" t="n"/>
      <c r="E9" s="28" t="n"/>
      <c r="F9" s="28" t="n"/>
      <c r="G9" s="28" t="n"/>
      <c r="H9" s="28" t="n"/>
      <c r="I9" s="28" t="n"/>
      <c r="J9" s="28" t="n"/>
      <c r="K9" s="28" t="n"/>
      <c r="L9" s="28" t="n"/>
      <c r="M9" s="28" t="n"/>
      <c r="N9" s="10" t="inlineStr">
        <is>
          <t>% p.a.</t>
        </is>
      </c>
      <c r="O9" s="10" t="inlineStr">
        <is>
          <t>n/a - segment-level assumption</t>
        </is>
      </c>
    </row>
    <row r="10">
      <c r="B10" s="7" t="inlineStr">
        <is>
          <t>Services attach rate (services revenue as % of merchandise sales)</t>
        </is>
      </c>
      <c r="C10" s="28" t="n"/>
      <c r="D10" s="28" t="n"/>
      <c r="E10" s="28" t="n"/>
      <c r="F10" s="28" t="n"/>
      <c r="G10" s="28" t="n"/>
      <c r="H10" s="28" t="n"/>
      <c r="I10" s="28" t="n"/>
      <c r="J10" s="28" t="n"/>
      <c r="K10" s="28" t="n"/>
      <c r="L10" s="28" t="n"/>
      <c r="M10" s="28" t="n"/>
      <c r="N10" s="10" t="inlineStr">
        <is>
          <t>% of merch.</t>
        </is>
      </c>
      <c r="O10" s="10" t="inlineStr">
        <is>
          <t>n/a - segment-level assumption</t>
        </is>
      </c>
    </row>
    <row r="11">
      <c r="B11" s="7" t="inlineStr">
        <is>
          <t>Other (non-retail / diamond sourcing) revenue growth</t>
        </is>
      </c>
      <c r="C11" s="28" t="n"/>
      <c r="D11" s="28" t="n"/>
      <c r="E11" s="28" t="n"/>
      <c r="F11" s="28" t="n"/>
      <c r="G11" s="28" t="n"/>
      <c r="H11" s="28" t="n"/>
      <c r="I11" s="28" t="n"/>
      <c r="J11" s="28" t="n"/>
      <c r="K11" s="28" t="n"/>
      <c r="L11" s="28" t="n"/>
      <c r="M11" s="28" t="n"/>
      <c r="N11" s="10" t="inlineStr">
        <is>
          <t>% p.a.</t>
        </is>
      </c>
      <c r="O11" s="10" t="inlineStr">
        <is>
          <t>n/a - segment-level assumption</t>
        </is>
      </c>
    </row>
    <row r="12">
      <c r="B12" s="7" t="inlineStr">
        <is>
          <t>Cost of sales (incl. store occupancy) as % of total sales</t>
        </is>
      </c>
      <c r="C12" s="28" t="n"/>
      <c r="D12" s="28" t="n"/>
      <c r="E12" s="28" t="n"/>
      <c r="F12" s="28" t="n"/>
      <c r="G12" s="28" t="n"/>
      <c r="H12" s="28" t="n"/>
      <c r="I12" s="28" t="n"/>
      <c r="J12" s="28" t="n"/>
      <c r="K12" s="28" t="n"/>
      <c r="L12" s="28" t="n"/>
      <c r="M12" s="28" t="n"/>
      <c r="N12" s="10" t="inlineStr">
        <is>
          <t>% of sales</t>
        </is>
      </c>
      <c r="O12" s="10" t="inlineStr">
        <is>
          <t>n/a - segment-level assumption</t>
        </is>
      </c>
    </row>
    <row r="13">
      <c r="B13" s="7" t="inlineStr">
        <is>
          <t>Variable SG&amp;A (store payroll, advertising, credit) as % of total sales</t>
        </is>
      </c>
      <c r="C13" s="28" t="n"/>
      <c r="D13" s="28" t="n"/>
      <c r="E13" s="28" t="n"/>
      <c r="F13" s="28" t="n"/>
      <c r="G13" s="28" t="n"/>
      <c r="H13" s="28" t="n"/>
      <c r="I13" s="28" t="n"/>
      <c r="J13" s="28" t="n"/>
      <c r="K13" s="28" t="n"/>
      <c r="L13" s="28" t="n"/>
      <c r="M13" s="28" t="n"/>
      <c r="N13" s="10" t="inlineStr">
        <is>
          <t>% of sales</t>
        </is>
      </c>
      <c r="O13" s="10" t="inlineStr">
        <is>
          <t>n/a - segment-level assumption</t>
        </is>
      </c>
    </row>
    <row r="14">
      <c r="B14" s="7" t="inlineStr">
        <is>
          <t>Fixed SG&amp;A inflation (corporate, support, fixed store overhead)</t>
        </is>
      </c>
      <c r="C14" s="28" t="n"/>
      <c r="D14" s="28" t="n"/>
      <c r="E14" s="28" t="n"/>
      <c r="F14" s="28" t="n"/>
      <c r="G14" s="28" t="n"/>
      <c r="H14" s="28" t="n"/>
      <c r="I14" s="28" t="n"/>
      <c r="J14" s="28" t="n"/>
      <c r="K14" s="28" t="n"/>
      <c r="L14" s="28" t="n"/>
      <c r="M14" s="28" t="n"/>
      <c r="N14" s="10" t="inlineStr">
        <is>
          <t>% p.a.</t>
        </is>
      </c>
      <c r="O14" s="10" t="inlineStr">
        <is>
          <t>n/a - segment-level assumption</t>
        </is>
      </c>
    </row>
    <row r="15">
      <c r="B15" s="7" t="inlineStr">
        <is>
          <t>Cost-savings initiatives (incremental run-rate cut to fixed SG&amp;A)</t>
        </is>
      </c>
      <c r="C15" s="28" t="n"/>
      <c r="D15" s="28" t="n"/>
      <c r="E15" s="28" t="n"/>
      <c r="F15" s="28" t="n"/>
      <c r="G15" s="28" t="n"/>
      <c r="H15" s="28" t="n"/>
      <c r="I15" s="28" t="n"/>
      <c r="J15" s="28" t="n"/>
      <c r="K15" s="28" t="n"/>
      <c r="L15" s="28" t="n"/>
      <c r="M15" s="28" t="n"/>
      <c r="N15" s="10" t="inlineStr">
        <is>
          <t>$M</t>
        </is>
      </c>
      <c r="O15" s="10" t="inlineStr">
        <is>
          <t>n/a - segment-level assumption</t>
        </is>
      </c>
    </row>
    <row r="16">
      <c r="B16" s="7" t="inlineStr">
        <is>
          <t>Other operating income / (expense), one-time items (+ = income)</t>
        </is>
      </c>
      <c r="C16" s="28" t="n"/>
      <c r="D16" s="28" t="n"/>
      <c r="E16" s="28" t="n"/>
      <c r="F16" s="28" t="n"/>
      <c r="G16" s="28" t="n"/>
      <c r="H16" s="28" t="n"/>
      <c r="I16" s="28" t="n"/>
      <c r="J16" s="28" t="n"/>
      <c r="K16" s="28" t="n"/>
      <c r="L16" s="28" t="n"/>
      <c r="M16" s="28" t="n"/>
      <c r="N16" s="10" t="inlineStr">
        <is>
          <t>$M</t>
        </is>
      </c>
      <c r="O16" s="10" t="inlineStr">
        <is>
          <t>n/a - segment-level assumption</t>
        </is>
      </c>
    </row>
    <row r="17">
      <c r="B17" s="7" t="inlineStr">
        <is>
          <t>Net yield on invested assets (cash &amp; equivalents)</t>
        </is>
      </c>
      <c r="C17" s="28" t="n"/>
      <c r="D17" s="28" t="n"/>
      <c r="E17" s="28" t="n"/>
      <c r="F17" s="28" t="n"/>
      <c r="G17" s="28" t="n"/>
      <c r="H17" s="28" t="n"/>
      <c r="I17" s="28" t="n"/>
      <c r="J17" s="28" t="n"/>
      <c r="K17" s="28" t="n"/>
      <c r="L17" s="28" t="n"/>
      <c r="M17" s="28" t="n"/>
      <c r="N17" s="10" t="inlineStr">
        <is>
          <t>% of prior-yr cash</t>
        </is>
      </c>
      <c r="O17" s="10" t="inlineStr">
        <is>
          <t>n/a - segment-level assumption</t>
        </is>
      </c>
    </row>
    <row r="18">
      <c r="B18" s="7" t="inlineStr">
        <is>
          <t>Interest rate on debt (ABL revolver; debt is zero in baseline)</t>
        </is>
      </c>
      <c r="C18" s="28" t="n"/>
      <c r="D18" s="28" t="n"/>
      <c r="E18" s="28" t="n"/>
      <c r="F18" s="28" t="n"/>
      <c r="G18" s="28" t="n"/>
      <c r="H18" s="28" t="n"/>
      <c r="I18" s="28" t="n"/>
      <c r="J18" s="28" t="n"/>
      <c r="K18" s="28" t="n"/>
      <c r="L18" s="28" t="n"/>
      <c r="M18" s="28" t="n"/>
      <c r="N18" s="10" t="inlineStr">
        <is>
          <t>% of prior-yr debt</t>
        </is>
      </c>
      <c r="O18" s="10" t="inlineStr">
        <is>
          <t>n/a - segment-level assumption</t>
        </is>
      </c>
    </row>
    <row r="19">
      <c r="B19" s="7" t="inlineStr">
        <is>
          <t>Effective income tax rate</t>
        </is>
      </c>
      <c r="C19" s="28" t="n"/>
      <c r="D19" s="28" t="n"/>
      <c r="E19" s="28" t="n"/>
      <c r="F19" s="28" t="n"/>
      <c r="G19" s="28" t="n"/>
      <c r="H19" s="28" t="n"/>
      <c r="I19" s="28" t="n"/>
      <c r="J19" s="28" t="n"/>
      <c r="K19" s="28" t="n"/>
      <c r="L19" s="28" t="n"/>
      <c r="M19" s="28" t="n"/>
      <c r="N19" s="10" t="inlineStr">
        <is>
          <t>% of pre-tax</t>
        </is>
      </c>
      <c r="O19" s="10" t="inlineStr">
        <is>
          <t>n/a - segment-level assumption</t>
        </is>
      </c>
    </row>
    <row r="20">
      <c r="B20" s="7" t="inlineStr">
        <is>
          <t>Discount rate (cost of equity, CAPM) - single rate for the segment</t>
        </is>
      </c>
      <c r="C20" s="28" t="n"/>
      <c r="D20" s="28" t="n"/>
      <c r="E20" s="28" t="n"/>
      <c r="F20" s="28" t="n"/>
      <c r="G20" s="28" t="n"/>
      <c r="H20" s="28" t="n"/>
      <c r="I20" s="28" t="n"/>
      <c r="J20" s="28" t="n"/>
      <c r="K20" s="28" t="n"/>
      <c r="L20" s="28" t="n"/>
      <c r="M20" s="28" t="n"/>
      <c r="N20" s="10" t="inlineStr">
        <is>
          <t>% p.a.</t>
        </is>
      </c>
      <c r="O20" s="10" t="inlineStr">
        <is>
          <t>n/a - segment-level assumption</t>
        </is>
      </c>
    </row>
    <row r="22">
      <c r="A22" s="12" t="inlineStr">
        <is>
          <t>SHOCK TO ASSUMPTIONS - blank at total level</t>
        </is>
      </c>
      <c r="B22" s="13" t="n"/>
      <c r="C22" s="13" t="n"/>
      <c r="D22" s="13" t="n"/>
      <c r="E22" s="13" t="n"/>
      <c r="F22" s="13" t="n"/>
      <c r="G22" s="13" t="n"/>
      <c r="H22" s="13" t="n"/>
      <c r="I22" s="13" t="n"/>
      <c r="J22" s="13" t="n"/>
      <c r="K22" s="13" t="n"/>
      <c r="L22" s="13" t="n"/>
      <c r="M22" s="13" t="n"/>
      <c r="N22" s="13" t="n"/>
      <c r="O22" s="13" t="n"/>
    </row>
    <row r="23">
      <c r="B23" s="7" t="inlineStr">
        <is>
          <t>Gross store openings (number of stores)</t>
        </is>
      </c>
      <c r="C23" s="28" t="n"/>
      <c r="D23" s="28" t="n"/>
      <c r="E23" s="28" t="n"/>
      <c r="F23" s="28" t="n"/>
      <c r="G23" s="28" t="n"/>
      <c r="H23" s="28" t="n"/>
      <c r="I23" s="28" t="n"/>
      <c r="J23" s="28" t="n"/>
      <c r="K23" s="28" t="n"/>
      <c r="L23" s="28" t="n"/>
      <c r="M23" s="28" t="n"/>
      <c r="N23" s="10" t="inlineStr">
        <is>
          <t># stores</t>
        </is>
      </c>
      <c r="O23" s="10" t="inlineStr">
        <is>
          <t>n/a - segment-level assumption</t>
        </is>
      </c>
    </row>
    <row r="24">
      <c r="B24" s="7" t="inlineStr">
        <is>
          <t>Store closures (number of stores)</t>
        </is>
      </c>
      <c r="C24" s="28" t="n"/>
      <c r="D24" s="28" t="n"/>
      <c r="E24" s="28" t="n"/>
      <c r="F24" s="28" t="n"/>
      <c r="G24" s="28" t="n"/>
      <c r="H24" s="28" t="n"/>
      <c r="I24" s="28" t="n"/>
      <c r="J24" s="28" t="n"/>
      <c r="K24" s="28" t="n"/>
      <c r="L24" s="28" t="n"/>
      <c r="M24" s="28" t="n"/>
      <c r="N24" s="10" t="inlineStr">
        <is>
          <t># stores</t>
        </is>
      </c>
      <c r="O24" s="10" t="inlineStr">
        <is>
          <t>n/a - segment-level assumption</t>
        </is>
      </c>
    </row>
    <row r="25">
      <c r="B25" s="7" t="inlineStr">
        <is>
          <t>Same-store sales growth (applied to merchandise sales per average store)</t>
        </is>
      </c>
      <c r="C25" s="28" t="n"/>
      <c r="D25" s="28" t="n"/>
      <c r="E25" s="28" t="n"/>
      <c r="F25" s="28" t="n"/>
      <c r="G25" s="28" t="n"/>
      <c r="H25" s="28" t="n"/>
      <c r="I25" s="28" t="n"/>
      <c r="J25" s="28" t="n"/>
      <c r="K25" s="28" t="n"/>
      <c r="L25" s="28" t="n"/>
      <c r="M25" s="28" t="n"/>
      <c r="N25" s="10" t="inlineStr">
        <is>
          <t>% p.a.</t>
        </is>
      </c>
      <c r="O25" s="10" t="inlineStr">
        <is>
          <t>n/a - segment-level assumption</t>
        </is>
      </c>
    </row>
    <row r="26">
      <c r="B26" s="7" t="inlineStr">
        <is>
          <t>E-commerce merchandise sales growth</t>
        </is>
      </c>
      <c r="C26" s="28" t="n"/>
      <c r="D26" s="28" t="n"/>
      <c r="E26" s="28" t="n"/>
      <c r="F26" s="28" t="n"/>
      <c r="G26" s="28" t="n"/>
      <c r="H26" s="28" t="n"/>
      <c r="I26" s="28" t="n"/>
      <c r="J26" s="28" t="n"/>
      <c r="K26" s="28" t="n"/>
      <c r="L26" s="28" t="n"/>
      <c r="M26" s="28" t="n"/>
      <c r="N26" s="10" t="inlineStr">
        <is>
          <t>% p.a.</t>
        </is>
      </c>
      <c r="O26" s="10" t="inlineStr">
        <is>
          <t>n/a - segment-level assumption</t>
        </is>
      </c>
    </row>
    <row r="27">
      <c r="B27" s="7" t="inlineStr">
        <is>
          <t>Services attach rate (services revenue as % of merchandise sales)</t>
        </is>
      </c>
      <c r="C27" s="28" t="n"/>
      <c r="D27" s="28" t="n"/>
      <c r="E27" s="28" t="n"/>
      <c r="F27" s="28" t="n"/>
      <c r="G27" s="28" t="n"/>
      <c r="H27" s="28" t="n"/>
      <c r="I27" s="28" t="n"/>
      <c r="J27" s="28" t="n"/>
      <c r="K27" s="28" t="n"/>
      <c r="L27" s="28" t="n"/>
      <c r="M27" s="28" t="n"/>
      <c r="N27" s="10" t="inlineStr">
        <is>
          <t>% of merch.</t>
        </is>
      </c>
      <c r="O27" s="10" t="inlineStr">
        <is>
          <t>n/a - segment-level assumption</t>
        </is>
      </c>
    </row>
    <row r="28">
      <c r="B28" s="7" t="inlineStr">
        <is>
          <t>Other (non-retail / diamond sourcing) revenue growth</t>
        </is>
      </c>
      <c r="C28" s="28" t="n"/>
      <c r="D28" s="28" t="n"/>
      <c r="E28" s="28" t="n"/>
      <c r="F28" s="28" t="n"/>
      <c r="G28" s="28" t="n"/>
      <c r="H28" s="28" t="n"/>
      <c r="I28" s="28" t="n"/>
      <c r="J28" s="28" t="n"/>
      <c r="K28" s="28" t="n"/>
      <c r="L28" s="28" t="n"/>
      <c r="M28" s="28" t="n"/>
      <c r="N28" s="10" t="inlineStr">
        <is>
          <t>% p.a.</t>
        </is>
      </c>
      <c r="O28" s="10" t="inlineStr">
        <is>
          <t>n/a - segment-level assumption</t>
        </is>
      </c>
    </row>
    <row r="29">
      <c r="B29" s="7" t="inlineStr">
        <is>
          <t>Cost of sales (incl. store occupancy) as % of total sales</t>
        </is>
      </c>
      <c r="C29" s="28" t="n"/>
      <c r="D29" s="28" t="n"/>
      <c r="E29" s="28" t="n"/>
      <c r="F29" s="28" t="n"/>
      <c r="G29" s="28" t="n"/>
      <c r="H29" s="28" t="n"/>
      <c r="I29" s="28" t="n"/>
      <c r="J29" s="28" t="n"/>
      <c r="K29" s="28" t="n"/>
      <c r="L29" s="28" t="n"/>
      <c r="M29" s="28" t="n"/>
      <c r="N29" s="10" t="inlineStr">
        <is>
          <t>% of sales</t>
        </is>
      </c>
      <c r="O29" s="10" t="inlineStr">
        <is>
          <t>n/a - segment-level assumption</t>
        </is>
      </c>
    </row>
    <row r="30">
      <c r="B30" s="7" t="inlineStr">
        <is>
          <t>Variable SG&amp;A (store payroll, advertising, credit) as % of total sales</t>
        </is>
      </c>
      <c r="C30" s="28" t="n"/>
      <c r="D30" s="28" t="n"/>
      <c r="E30" s="28" t="n"/>
      <c r="F30" s="28" t="n"/>
      <c r="G30" s="28" t="n"/>
      <c r="H30" s="28" t="n"/>
      <c r="I30" s="28" t="n"/>
      <c r="J30" s="28" t="n"/>
      <c r="K30" s="28" t="n"/>
      <c r="L30" s="28" t="n"/>
      <c r="M30" s="28" t="n"/>
      <c r="N30" s="10" t="inlineStr">
        <is>
          <t>% of sales</t>
        </is>
      </c>
      <c r="O30" s="10" t="inlineStr">
        <is>
          <t>n/a - segment-level assumption</t>
        </is>
      </c>
    </row>
    <row r="31">
      <c r="B31" s="7" t="inlineStr">
        <is>
          <t>Fixed SG&amp;A inflation (corporate, support, fixed store overhead)</t>
        </is>
      </c>
      <c r="C31" s="28" t="n"/>
      <c r="D31" s="28" t="n"/>
      <c r="E31" s="28" t="n"/>
      <c r="F31" s="28" t="n"/>
      <c r="G31" s="28" t="n"/>
      <c r="H31" s="28" t="n"/>
      <c r="I31" s="28" t="n"/>
      <c r="J31" s="28" t="n"/>
      <c r="K31" s="28" t="n"/>
      <c r="L31" s="28" t="n"/>
      <c r="M31" s="28" t="n"/>
      <c r="N31" s="10" t="inlineStr">
        <is>
          <t>% p.a.</t>
        </is>
      </c>
      <c r="O31" s="10" t="inlineStr">
        <is>
          <t>n/a - segment-level assumption</t>
        </is>
      </c>
    </row>
    <row r="32">
      <c r="B32" s="7" t="inlineStr">
        <is>
          <t>Cost-savings initiatives (incremental run-rate cut to fixed SG&amp;A)</t>
        </is>
      </c>
      <c r="C32" s="28" t="n"/>
      <c r="D32" s="28" t="n"/>
      <c r="E32" s="28" t="n"/>
      <c r="F32" s="28" t="n"/>
      <c r="G32" s="28" t="n"/>
      <c r="H32" s="28" t="n"/>
      <c r="I32" s="28" t="n"/>
      <c r="J32" s="28" t="n"/>
      <c r="K32" s="28" t="n"/>
      <c r="L32" s="28" t="n"/>
      <c r="M32" s="28" t="n"/>
      <c r="N32" s="10" t="inlineStr">
        <is>
          <t>$M</t>
        </is>
      </c>
      <c r="O32" s="10" t="inlineStr">
        <is>
          <t>n/a - segment-level assumption</t>
        </is>
      </c>
    </row>
    <row r="33">
      <c r="B33" s="7" t="inlineStr">
        <is>
          <t>Other operating income / (expense), one-time items (+ = income)</t>
        </is>
      </c>
      <c r="C33" s="28" t="n"/>
      <c r="D33" s="28" t="n"/>
      <c r="E33" s="28" t="n"/>
      <c r="F33" s="28" t="n"/>
      <c r="G33" s="28" t="n"/>
      <c r="H33" s="28" t="n"/>
      <c r="I33" s="28" t="n"/>
      <c r="J33" s="28" t="n"/>
      <c r="K33" s="28" t="n"/>
      <c r="L33" s="28" t="n"/>
      <c r="M33" s="28" t="n"/>
      <c r="N33" s="10" t="inlineStr">
        <is>
          <t>$M</t>
        </is>
      </c>
      <c r="O33" s="10" t="inlineStr">
        <is>
          <t>n/a - segment-level assumption</t>
        </is>
      </c>
    </row>
    <row r="34">
      <c r="B34" s="7" t="inlineStr">
        <is>
          <t>Net yield on invested assets (cash &amp; equivalents)</t>
        </is>
      </c>
      <c r="C34" s="28" t="n"/>
      <c r="D34" s="28" t="n"/>
      <c r="E34" s="28" t="n"/>
      <c r="F34" s="28" t="n"/>
      <c r="G34" s="28" t="n"/>
      <c r="H34" s="28" t="n"/>
      <c r="I34" s="28" t="n"/>
      <c r="J34" s="28" t="n"/>
      <c r="K34" s="28" t="n"/>
      <c r="L34" s="28" t="n"/>
      <c r="M34" s="28" t="n"/>
      <c r="N34" s="10" t="inlineStr">
        <is>
          <t>% of prior-yr cash</t>
        </is>
      </c>
      <c r="O34" s="10" t="inlineStr">
        <is>
          <t>n/a - segment-level assumption</t>
        </is>
      </c>
    </row>
    <row r="35">
      <c r="B35" s="7" t="inlineStr">
        <is>
          <t>Interest rate on debt (ABL revolver; debt is zero in baseline)</t>
        </is>
      </c>
      <c r="C35" s="28" t="n"/>
      <c r="D35" s="28" t="n"/>
      <c r="E35" s="28" t="n"/>
      <c r="F35" s="28" t="n"/>
      <c r="G35" s="28" t="n"/>
      <c r="H35" s="28" t="n"/>
      <c r="I35" s="28" t="n"/>
      <c r="J35" s="28" t="n"/>
      <c r="K35" s="28" t="n"/>
      <c r="L35" s="28" t="n"/>
      <c r="M35" s="28" t="n"/>
      <c r="N35" s="10" t="inlineStr">
        <is>
          <t>% of prior-yr debt</t>
        </is>
      </c>
      <c r="O35" s="10" t="inlineStr">
        <is>
          <t>n/a - segment-level assumption</t>
        </is>
      </c>
    </row>
    <row r="36">
      <c r="B36" s="7" t="inlineStr">
        <is>
          <t>Effective income tax rate</t>
        </is>
      </c>
      <c r="C36" s="28" t="n"/>
      <c r="D36" s="28" t="n"/>
      <c r="E36" s="28" t="n"/>
      <c r="F36" s="28" t="n"/>
      <c r="G36" s="28" t="n"/>
      <c r="H36" s="28" t="n"/>
      <c r="I36" s="28" t="n"/>
      <c r="J36" s="28" t="n"/>
      <c r="K36" s="28" t="n"/>
      <c r="L36" s="28" t="n"/>
      <c r="M36" s="28" t="n"/>
      <c r="N36" s="10" t="inlineStr">
        <is>
          <t>% of pre-tax</t>
        </is>
      </c>
      <c r="O36" s="10" t="inlineStr">
        <is>
          <t>n/a - segment-level assumption</t>
        </is>
      </c>
    </row>
    <row r="37">
      <c r="B37" s="7" t="inlineStr">
        <is>
          <t>Discount rate (cost of equity, CAPM) - single rate for the segment</t>
        </is>
      </c>
      <c r="C37" s="28" t="n"/>
      <c r="D37" s="28" t="n"/>
      <c r="E37" s="28" t="n"/>
      <c r="F37" s="28" t="n"/>
      <c r="G37" s="28" t="n"/>
      <c r="H37" s="28" t="n"/>
      <c r="I37" s="28" t="n"/>
      <c r="J37" s="28" t="n"/>
      <c r="K37" s="28" t="n"/>
      <c r="L37" s="28" t="n"/>
      <c r="M37" s="28" t="n"/>
      <c r="N37" s="10" t="inlineStr">
        <is>
          <t>% p.a.</t>
        </is>
      </c>
      <c r="O37" s="10" t="inlineStr">
        <is>
          <t>n/a - segment-level assumption</t>
        </is>
      </c>
    </row>
    <row r="39">
      <c r="A39" s="12" t="inlineStr">
        <is>
          <t>ASSUMPTIONS FOR SCENARIO RUN - blank at total level</t>
        </is>
      </c>
      <c r="B39" s="13" t="n"/>
      <c r="C39" s="13" t="n"/>
      <c r="D39" s="13" t="n"/>
      <c r="E39" s="13" t="n"/>
      <c r="F39" s="13" t="n"/>
      <c r="G39" s="13" t="n"/>
      <c r="H39" s="13" t="n"/>
      <c r="I39" s="13" t="n"/>
      <c r="J39" s="13" t="n"/>
      <c r="K39" s="13" t="n"/>
      <c r="L39" s="13" t="n"/>
      <c r="M39" s="13" t="n"/>
      <c r="N39" s="13" t="n"/>
      <c r="O39" s="13" t="n"/>
    </row>
    <row r="40">
      <c r="B40" s="7" t="inlineStr">
        <is>
          <t>Gross store openings (number of stores)</t>
        </is>
      </c>
      <c r="C40" s="28" t="n"/>
      <c r="D40" s="28" t="n"/>
      <c r="E40" s="28" t="n"/>
      <c r="F40" s="28" t="n"/>
      <c r="G40" s="28" t="n"/>
      <c r="H40" s="28" t="n"/>
      <c r="I40" s="28" t="n"/>
      <c r="J40" s="28" t="n"/>
      <c r="K40" s="28" t="n"/>
      <c r="L40" s="28" t="n"/>
      <c r="M40" s="28" t="n"/>
      <c r="N40" s="10" t="inlineStr">
        <is>
          <t># stores</t>
        </is>
      </c>
      <c r="O40" s="10" t="inlineStr">
        <is>
          <t>n/a - segment-level assumption</t>
        </is>
      </c>
    </row>
    <row r="41">
      <c r="B41" s="7" t="inlineStr">
        <is>
          <t>Store closures (number of stores)</t>
        </is>
      </c>
      <c r="C41" s="28" t="n"/>
      <c r="D41" s="28" t="n"/>
      <c r="E41" s="28" t="n"/>
      <c r="F41" s="28" t="n"/>
      <c r="G41" s="28" t="n"/>
      <c r="H41" s="28" t="n"/>
      <c r="I41" s="28" t="n"/>
      <c r="J41" s="28" t="n"/>
      <c r="K41" s="28" t="n"/>
      <c r="L41" s="28" t="n"/>
      <c r="M41" s="28" t="n"/>
      <c r="N41" s="10" t="inlineStr">
        <is>
          <t># stores</t>
        </is>
      </c>
      <c r="O41" s="10" t="inlineStr">
        <is>
          <t>n/a - segment-level assumption</t>
        </is>
      </c>
    </row>
    <row r="42">
      <c r="B42" s="7" t="inlineStr">
        <is>
          <t>Same-store sales growth (applied to merchandise sales per average store)</t>
        </is>
      </c>
      <c r="C42" s="28" t="n"/>
      <c r="D42" s="28" t="n"/>
      <c r="E42" s="28" t="n"/>
      <c r="F42" s="28" t="n"/>
      <c r="G42" s="28" t="n"/>
      <c r="H42" s="28" t="n"/>
      <c r="I42" s="28" t="n"/>
      <c r="J42" s="28" t="n"/>
      <c r="K42" s="28" t="n"/>
      <c r="L42" s="28" t="n"/>
      <c r="M42" s="28" t="n"/>
      <c r="N42" s="10" t="inlineStr">
        <is>
          <t>% p.a.</t>
        </is>
      </c>
      <c r="O42" s="10" t="inlineStr">
        <is>
          <t>n/a - segment-level assumption</t>
        </is>
      </c>
    </row>
    <row r="43">
      <c r="B43" s="7" t="inlineStr">
        <is>
          <t>E-commerce merchandise sales growth</t>
        </is>
      </c>
      <c r="C43" s="28" t="n"/>
      <c r="D43" s="28" t="n"/>
      <c r="E43" s="28" t="n"/>
      <c r="F43" s="28" t="n"/>
      <c r="G43" s="28" t="n"/>
      <c r="H43" s="28" t="n"/>
      <c r="I43" s="28" t="n"/>
      <c r="J43" s="28" t="n"/>
      <c r="K43" s="28" t="n"/>
      <c r="L43" s="28" t="n"/>
      <c r="M43" s="28" t="n"/>
      <c r="N43" s="10" t="inlineStr">
        <is>
          <t>% p.a.</t>
        </is>
      </c>
      <c r="O43" s="10" t="inlineStr">
        <is>
          <t>n/a - segment-level assumption</t>
        </is>
      </c>
    </row>
    <row r="44">
      <c r="B44" s="7" t="inlineStr">
        <is>
          <t>Services attach rate (services revenue as % of merchandise sales)</t>
        </is>
      </c>
      <c r="C44" s="28" t="n"/>
      <c r="D44" s="28" t="n"/>
      <c r="E44" s="28" t="n"/>
      <c r="F44" s="28" t="n"/>
      <c r="G44" s="28" t="n"/>
      <c r="H44" s="28" t="n"/>
      <c r="I44" s="28" t="n"/>
      <c r="J44" s="28" t="n"/>
      <c r="K44" s="28" t="n"/>
      <c r="L44" s="28" t="n"/>
      <c r="M44" s="28" t="n"/>
      <c r="N44" s="10" t="inlineStr">
        <is>
          <t>% of merch.</t>
        </is>
      </c>
      <c r="O44" s="10" t="inlineStr">
        <is>
          <t>n/a - segment-level assumption</t>
        </is>
      </c>
    </row>
    <row r="45">
      <c r="B45" s="7" t="inlineStr">
        <is>
          <t>Other (non-retail / diamond sourcing) revenue growth</t>
        </is>
      </c>
      <c r="C45" s="28" t="n"/>
      <c r="D45" s="28" t="n"/>
      <c r="E45" s="28" t="n"/>
      <c r="F45" s="28" t="n"/>
      <c r="G45" s="28" t="n"/>
      <c r="H45" s="28" t="n"/>
      <c r="I45" s="28" t="n"/>
      <c r="J45" s="28" t="n"/>
      <c r="K45" s="28" t="n"/>
      <c r="L45" s="28" t="n"/>
      <c r="M45" s="28" t="n"/>
      <c r="N45" s="10" t="inlineStr">
        <is>
          <t>% p.a.</t>
        </is>
      </c>
      <c r="O45" s="10" t="inlineStr">
        <is>
          <t>n/a - segment-level assumption</t>
        </is>
      </c>
    </row>
    <row r="46">
      <c r="B46" s="7" t="inlineStr">
        <is>
          <t>Cost of sales (incl. store occupancy) as % of total sales</t>
        </is>
      </c>
      <c r="C46" s="28" t="n"/>
      <c r="D46" s="28" t="n"/>
      <c r="E46" s="28" t="n"/>
      <c r="F46" s="28" t="n"/>
      <c r="G46" s="28" t="n"/>
      <c r="H46" s="28" t="n"/>
      <c r="I46" s="28" t="n"/>
      <c r="J46" s="28" t="n"/>
      <c r="K46" s="28" t="n"/>
      <c r="L46" s="28" t="n"/>
      <c r="M46" s="28" t="n"/>
      <c r="N46" s="10" t="inlineStr">
        <is>
          <t>% of sales</t>
        </is>
      </c>
      <c r="O46" s="10" t="inlineStr">
        <is>
          <t>n/a - segment-level assumption</t>
        </is>
      </c>
    </row>
    <row r="47">
      <c r="B47" s="7" t="inlineStr">
        <is>
          <t>Variable SG&amp;A (store payroll, advertising, credit) as % of total sales</t>
        </is>
      </c>
      <c r="C47" s="28" t="n"/>
      <c r="D47" s="28" t="n"/>
      <c r="E47" s="28" t="n"/>
      <c r="F47" s="28" t="n"/>
      <c r="G47" s="28" t="n"/>
      <c r="H47" s="28" t="n"/>
      <c r="I47" s="28" t="n"/>
      <c r="J47" s="28" t="n"/>
      <c r="K47" s="28" t="n"/>
      <c r="L47" s="28" t="n"/>
      <c r="M47" s="28" t="n"/>
      <c r="N47" s="10" t="inlineStr">
        <is>
          <t>% of sales</t>
        </is>
      </c>
      <c r="O47" s="10" t="inlineStr">
        <is>
          <t>n/a - segment-level assumption</t>
        </is>
      </c>
    </row>
    <row r="48">
      <c r="B48" s="7" t="inlineStr">
        <is>
          <t>Fixed SG&amp;A inflation (corporate, support, fixed store overhead)</t>
        </is>
      </c>
      <c r="C48" s="28" t="n"/>
      <c r="D48" s="28" t="n"/>
      <c r="E48" s="28" t="n"/>
      <c r="F48" s="28" t="n"/>
      <c r="G48" s="28" t="n"/>
      <c r="H48" s="28" t="n"/>
      <c r="I48" s="28" t="n"/>
      <c r="J48" s="28" t="n"/>
      <c r="K48" s="28" t="n"/>
      <c r="L48" s="28" t="n"/>
      <c r="M48" s="28" t="n"/>
      <c r="N48" s="10" t="inlineStr">
        <is>
          <t>% p.a.</t>
        </is>
      </c>
      <c r="O48" s="10" t="inlineStr">
        <is>
          <t>n/a - segment-level assumption</t>
        </is>
      </c>
    </row>
    <row r="49">
      <c r="B49" s="7" t="inlineStr">
        <is>
          <t>Cost-savings initiatives (incremental run-rate cut to fixed SG&amp;A)</t>
        </is>
      </c>
      <c r="C49" s="28" t="n"/>
      <c r="D49" s="28" t="n"/>
      <c r="E49" s="28" t="n"/>
      <c r="F49" s="28" t="n"/>
      <c r="G49" s="28" t="n"/>
      <c r="H49" s="28" t="n"/>
      <c r="I49" s="28" t="n"/>
      <c r="J49" s="28" t="n"/>
      <c r="K49" s="28" t="n"/>
      <c r="L49" s="28" t="n"/>
      <c r="M49" s="28" t="n"/>
      <c r="N49" s="10" t="inlineStr">
        <is>
          <t>$M</t>
        </is>
      </c>
      <c r="O49" s="10" t="inlineStr">
        <is>
          <t>n/a - segment-level assumption</t>
        </is>
      </c>
    </row>
    <row r="50">
      <c r="B50" s="7" t="inlineStr">
        <is>
          <t>Other operating income / (expense), one-time items (+ = income)</t>
        </is>
      </c>
      <c r="C50" s="28" t="n"/>
      <c r="D50" s="28" t="n"/>
      <c r="E50" s="28" t="n"/>
      <c r="F50" s="28" t="n"/>
      <c r="G50" s="28" t="n"/>
      <c r="H50" s="28" t="n"/>
      <c r="I50" s="28" t="n"/>
      <c r="J50" s="28" t="n"/>
      <c r="K50" s="28" t="n"/>
      <c r="L50" s="28" t="n"/>
      <c r="M50" s="28" t="n"/>
      <c r="N50" s="10" t="inlineStr">
        <is>
          <t>$M</t>
        </is>
      </c>
      <c r="O50" s="10" t="inlineStr">
        <is>
          <t>n/a - segment-level assumption</t>
        </is>
      </c>
    </row>
    <row r="51">
      <c r="B51" s="7" t="inlineStr">
        <is>
          <t>Net yield on invested assets (cash &amp; equivalents)</t>
        </is>
      </c>
      <c r="C51" s="28" t="n"/>
      <c r="D51" s="28" t="n"/>
      <c r="E51" s="28" t="n"/>
      <c r="F51" s="28" t="n"/>
      <c r="G51" s="28" t="n"/>
      <c r="H51" s="28" t="n"/>
      <c r="I51" s="28" t="n"/>
      <c r="J51" s="28" t="n"/>
      <c r="K51" s="28" t="n"/>
      <c r="L51" s="28" t="n"/>
      <c r="M51" s="28" t="n"/>
      <c r="N51" s="10" t="inlineStr">
        <is>
          <t>% of prior-yr cash</t>
        </is>
      </c>
      <c r="O51" s="10" t="inlineStr">
        <is>
          <t>n/a - segment-level assumption</t>
        </is>
      </c>
    </row>
    <row r="52">
      <c r="B52" s="7" t="inlineStr">
        <is>
          <t>Interest rate on debt (ABL revolver; debt is zero in baseline)</t>
        </is>
      </c>
      <c r="C52" s="28" t="n"/>
      <c r="D52" s="28" t="n"/>
      <c r="E52" s="28" t="n"/>
      <c r="F52" s="28" t="n"/>
      <c r="G52" s="28" t="n"/>
      <c r="H52" s="28" t="n"/>
      <c r="I52" s="28" t="n"/>
      <c r="J52" s="28" t="n"/>
      <c r="K52" s="28" t="n"/>
      <c r="L52" s="28" t="n"/>
      <c r="M52" s="28" t="n"/>
      <c r="N52" s="10" t="inlineStr">
        <is>
          <t>% of prior-yr debt</t>
        </is>
      </c>
      <c r="O52" s="10" t="inlineStr">
        <is>
          <t>n/a - segment-level assumption</t>
        </is>
      </c>
    </row>
    <row r="53">
      <c r="B53" s="7" t="inlineStr">
        <is>
          <t>Effective income tax rate</t>
        </is>
      </c>
      <c r="C53" s="28" t="n"/>
      <c r="D53" s="28" t="n"/>
      <c r="E53" s="28" t="n"/>
      <c r="F53" s="28" t="n"/>
      <c r="G53" s="28" t="n"/>
      <c r="H53" s="28" t="n"/>
      <c r="I53" s="28" t="n"/>
      <c r="J53" s="28" t="n"/>
      <c r="K53" s="28" t="n"/>
      <c r="L53" s="28" t="n"/>
      <c r="M53" s="28" t="n"/>
      <c r="N53" s="10" t="inlineStr">
        <is>
          <t>% of pre-tax</t>
        </is>
      </c>
      <c r="O53" s="10" t="inlineStr">
        <is>
          <t>n/a - segment-level assumption</t>
        </is>
      </c>
    </row>
    <row r="54">
      <c r="B54" s="7" t="inlineStr">
        <is>
          <t>Discount rate (cost of equity, CAPM) - single rate for the segment</t>
        </is>
      </c>
      <c r="C54" s="28" t="n"/>
      <c r="D54" s="28" t="n"/>
      <c r="E54" s="28" t="n"/>
      <c r="F54" s="28" t="n"/>
      <c r="G54" s="28" t="n"/>
      <c r="H54" s="28" t="n"/>
      <c r="I54" s="28" t="n"/>
      <c r="J54" s="28" t="n"/>
      <c r="K54" s="28" t="n"/>
      <c r="L54" s="28" t="n"/>
      <c r="M54" s="28" t="n"/>
      <c r="N54" s="10" t="inlineStr">
        <is>
          <t>% p.a.</t>
        </is>
      </c>
      <c r="O54" s="10" t="inlineStr">
        <is>
          <t>n/a - segment-level assumption</t>
        </is>
      </c>
    </row>
    <row r="56">
      <c r="A56" s="12" t="inlineStr">
        <is>
          <t>PROJECTION  ($ millions unless stated; all formulas read the SCENARIO block, never the baseline block directly)</t>
        </is>
      </c>
      <c r="B56" s="13" t="n"/>
      <c r="C56" s="13" t="n"/>
      <c r="D56" s="13" t="n"/>
      <c r="E56" s="13" t="n"/>
      <c r="F56" s="13" t="n"/>
      <c r="G56" s="13" t="n"/>
      <c r="H56" s="13" t="n"/>
      <c r="I56" s="13" t="n"/>
      <c r="J56" s="13" t="n"/>
      <c r="K56" s="13" t="n"/>
      <c r="L56" s="13" t="n"/>
      <c r="M56" s="13" t="n"/>
      <c r="N56" s="13" t="n"/>
      <c r="O56" s="13" t="n"/>
    </row>
    <row r="57">
      <c r="A57" s="22" t="inlineStr">
        <is>
          <t>Drivers</t>
        </is>
      </c>
      <c r="B57" s="23" t="inlineStr">
        <is>
          <t>OPERATING DRIVERS</t>
        </is>
      </c>
      <c r="C57" s="24" t="n"/>
      <c r="D57" s="24" t="n"/>
      <c r="E57" s="24" t="n"/>
      <c r="F57" s="24" t="n"/>
      <c r="G57" s="24" t="n"/>
      <c r="H57" s="24" t="n"/>
      <c r="I57" s="24" t="n"/>
      <c r="J57" s="24" t="n"/>
      <c r="K57" s="24" t="n"/>
      <c r="L57" s="24" t="n"/>
      <c r="M57" s="24" t="n"/>
      <c r="N57" s="24" t="n"/>
      <c r="O57" s="24" t="n"/>
    </row>
    <row r="58">
      <c r="B58" s="7" t="inlineStr">
        <is>
          <t>Stores - beginning of year</t>
        </is>
      </c>
      <c r="C58" s="29">
        <f>'Model - NA'!C58+'Model - INTL'!C58+'Model - OTHER'!C58</f>
        <v/>
      </c>
      <c r="D58" s="29">
        <f>'Model - NA'!D58+'Model - INTL'!D58+'Model - OTHER'!D58</f>
        <v/>
      </c>
      <c r="E58" s="29">
        <f>'Model - NA'!E58+'Model - INTL'!E58+'Model - OTHER'!E58</f>
        <v/>
      </c>
      <c r="F58" s="29">
        <f>'Model - NA'!F58+'Model - INTL'!F58+'Model - OTHER'!F58</f>
        <v/>
      </c>
      <c r="G58" s="29">
        <f>'Model - NA'!G58+'Model - INTL'!G58+'Model - OTHER'!G58</f>
        <v/>
      </c>
      <c r="H58" s="29">
        <f>'Model - NA'!H58+'Model - INTL'!H58+'Model - OTHER'!H58</f>
        <v/>
      </c>
      <c r="I58" s="29">
        <f>'Model - NA'!I58+'Model - INTL'!I58+'Model - OTHER'!I58</f>
        <v/>
      </c>
      <c r="J58" s="29">
        <f>'Model - NA'!J58+'Model - INTL'!J58+'Model - OTHER'!J58</f>
        <v/>
      </c>
      <c r="K58" s="29">
        <f>'Model - NA'!K58+'Model - INTL'!K58+'Model - OTHER'!K58</f>
        <v/>
      </c>
      <c r="L58" s="29">
        <f>'Model - NA'!L58+'Model - INTL'!L58+'Model - OTHER'!L58</f>
        <v/>
      </c>
      <c r="M58" s="29">
        <f>'Model - NA'!M58+'Model - INTL'!M58+'Model - OTHER'!M58</f>
        <v/>
      </c>
      <c r="N58" s="10" t="inlineStr">
        <is>
          <t># stores</t>
        </is>
      </c>
      <c r="O58" s="10" t="inlineStr">
        <is>
          <t>Last Yr = stores at Feb 1, 2025 (10-K FY2026).</t>
        </is>
      </c>
    </row>
    <row r="59">
      <c r="B59" s="7" t="inlineStr">
        <is>
          <t>Gross store openings</t>
        </is>
      </c>
      <c r="C59" s="29">
        <f>'Model - NA'!C59+'Model - INTL'!C59+'Model - OTHER'!C59</f>
        <v/>
      </c>
      <c r="D59" s="29">
        <f>'Model - NA'!D59+'Model - INTL'!D59+'Model - OTHER'!D59</f>
        <v/>
      </c>
      <c r="E59" s="29">
        <f>'Model - NA'!E59+'Model - INTL'!E59+'Model - OTHER'!E59</f>
        <v/>
      </c>
      <c r="F59" s="29">
        <f>'Model - NA'!F59+'Model - INTL'!F59+'Model - OTHER'!F59</f>
        <v/>
      </c>
      <c r="G59" s="29">
        <f>'Model - NA'!G59+'Model - INTL'!G59+'Model - OTHER'!G59</f>
        <v/>
      </c>
      <c r="H59" s="29">
        <f>'Model - NA'!H59+'Model - INTL'!H59+'Model - OTHER'!H59</f>
        <v/>
      </c>
      <c r="I59" s="29">
        <f>'Model - NA'!I59+'Model - INTL'!I59+'Model - OTHER'!I59</f>
        <v/>
      </c>
      <c r="J59" s="29">
        <f>'Model - NA'!J59+'Model - INTL'!J59+'Model - OTHER'!J59</f>
        <v/>
      </c>
      <c r="K59" s="29">
        <f>'Model - NA'!K59+'Model - INTL'!K59+'Model - OTHER'!K59</f>
        <v/>
      </c>
      <c r="L59" s="29">
        <f>'Model - NA'!L59+'Model - INTL'!L59+'Model - OTHER'!L59</f>
        <v/>
      </c>
      <c r="M59" s="29">
        <f>'Model - NA'!M59+'Model - INTL'!M59+'Model - OTHER'!M59</f>
        <v/>
      </c>
      <c r="N59" s="10" t="inlineStr">
        <is>
          <t># stores</t>
        </is>
      </c>
      <c r="O59" s="10" t="inlineStr"/>
    </row>
    <row r="60">
      <c r="B60" s="7" t="inlineStr">
        <is>
          <t>Store closures</t>
        </is>
      </c>
      <c r="C60" s="29">
        <f>'Model - NA'!C60+'Model - INTL'!C60+'Model - OTHER'!C60</f>
        <v/>
      </c>
      <c r="D60" s="29">
        <f>'Model - NA'!D60+'Model - INTL'!D60+'Model - OTHER'!D60</f>
        <v/>
      </c>
      <c r="E60" s="29">
        <f>'Model - NA'!E60+'Model - INTL'!E60+'Model - OTHER'!E60</f>
        <v/>
      </c>
      <c r="F60" s="29">
        <f>'Model - NA'!F60+'Model - INTL'!F60+'Model - OTHER'!F60</f>
        <v/>
      </c>
      <c r="G60" s="29">
        <f>'Model - NA'!G60+'Model - INTL'!G60+'Model - OTHER'!G60</f>
        <v/>
      </c>
      <c r="H60" s="29">
        <f>'Model - NA'!H60+'Model - INTL'!H60+'Model - OTHER'!H60</f>
        <v/>
      </c>
      <c r="I60" s="29">
        <f>'Model - NA'!I60+'Model - INTL'!I60+'Model - OTHER'!I60</f>
        <v/>
      </c>
      <c r="J60" s="29">
        <f>'Model - NA'!J60+'Model - INTL'!J60+'Model - OTHER'!J60</f>
        <v/>
      </c>
      <c r="K60" s="29">
        <f>'Model - NA'!K60+'Model - INTL'!K60+'Model - OTHER'!K60</f>
        <v/>
      </c>
      <c r="L60" s="29">
        <f>'Model - NA'!L60+'Model - INTL'!L60+'Model - OTHER'!L60</f>
        <v/>
      </c>
      <c r="M60" s="29">
        <f>'Model - NA'!M60+'Model - INTL'!M60+'Model - OTHER'!M60</f>
        <v/>
      </c>
      <c r="N60" s="10" t="inlineStr">
        <is>
          <t># stores</t>
        </is>
      </c>
      <c r="O60" s="10" t="inlineStr"/>
    </row>
    <row r="61">
      <c r="B61" s="7" t="inlineStr">
        <is>
          <t>Stores - end of year</t>
        </is>
      </c>
      <c r="C61" s="29">
        <f>'Model - NA'!C61+'Model - INTL'!C61+'Model - OTHER'!C61</f>
        <v/>
      </c>
      <c r="D61" s="29">
        <f>'Model - NA'!D61+'Model - INTL'!D61+'Model - OTHER'!D61</f>
        <v/>
      </c>
      <c r="E61" s="29">
        <f>'Model - NA'!E61+'Model - INTL'!E61+'Model - OTHER'!E61</f>
        <v/>
      </c>
      <c r="F61" s="29">
        <f>'Model - NA'!F61+'Model - INTL'!F61+'Model - OTHER'!F61</f>
        <v/>
      </c>
      <c r="G61" s="29">
        <f>'Model - NA'!G61+'Model - INTL'!G61+'Model - OTHER'!G61</f>
        <v/>
      </c>
      <c r="H61" s="29">
        <f>'Model - NA'!H61+'Model - INTL'!H61+'Model - OTHER'!H61</f>
        <v/>
      </c>
      <c r="I61" s="29">
        <f>'Model - NA'!I61+'Model - INTL'!I61+'Model - OTHER'!I61</f>
        <v/>
      </c>
      <c r="J61" s="29">
        <f>'Model - NA'!J61+'Model - INTL'!J61+'Model - OTHER'!J61</f>
        <v/>
      </c>
      <c r="K61" s="29">
        <f>'Model - NA'!K61+'Model - INTL'!K61+'Model - OTHER'!K61</f>
        <v/>
      </c>
      <c r="L61" s="29">
        <f>'Model - NA'!L61+'Model - INTL'!L61+'Model - OTHER'!L61</f>
        <v/>
      </c>
      <c r="M61" s="29">
        <f>'Model - NA'!M61+'Model - INTL'!M61+'Model - OTHER'!M61</f>
        <v/>
      </c>
      <c r="N61" s="10" t="inlineStr">
        <is>
          <t># stores</t>
        </is>
      </c>
      <c r="O61" s="10" t="inlineStr"/>
    </row>
    <row r="62">
      <c r="B62" s="7" t="inlineStr">
        <is>
          <t>Average stores in operation</t>
        </is>
      </c>
      <c r="C62" s="30">
        <f>'Model - NA'!C62+'Model - INTL'!C62+'Model - OTHER'!C62</f>
        <v/>
      </c>
      <c r="D62" s="30">
        <f>'Model - NA'!D62+'Model - INTL'!D62+'Model - OTHER'!D62</f>
        <v/>
      </c>
      <c r="E62" s="30">
        <f>'Model - NA'!E62+'Model - INTL'!E62+'Model - OTHER'!E62</f>
        <v/>
      </c>
      <c r="F62" s="30">
        <f>'Model - NA'!F62+'Model - INTL'!F62+'Model - OTHER'!F62</f>
        <v/>
      </c>
      <c r="G62" s="30">
        <f>'Model - NA'!G62+'Model - INTL'!G62+'Model - OTHER'!G62</f>
        <v/>
      </c>
      <c r="H62" s="30">
        <f>'Model - NA'!H62+'Model - INTL'!H62+'Model - OTHER'!H62</f>
        <v/>
      </c>
      <c r="I62" s="30">
        <f>'Model - NA'!I62+'Model - INTL'!I62+'Model - OTHER'!I62</f>
        <v/>
      </c>
      <c r="J62" s="30">
        <f>'Model - NA'!J62+'Model - INTL'!J62+'Model - OTHER'!J62</f>
        <v/>
      </c>
      <c r="K62" s="30">
        <f>'Model - NA'!K62+'Model - INTL'!K62+'Model - OTHER'!K62</f>
        <v/>
      </c>
      <c r="L62" s="30">
        <f>'Model - NA'!L62+'Model - INTL'!L62+'Model - OTHER'!L62</f>
        <v/>
      </c>
      <c r="M62" s="30">
        <f>'Model - NA'!M62+'Model - INTL'!M62+'Model - OTHER'!M62</f>
        <v/>
      </c>
      <c r="N62" s="10" t="inlineStr">
        <is>
          <t># stores</t>
        </is>
      </c>
      <c r="O62" s="10" t="inlineStr"/>
    </row>
    <row r="63">
      <c r="B63" s="7" t="inlineStr">
        <is>
          <t>Store merchandise sales per average store</t>
        </is>
      </c>
      <c r="C63" s="25">
        <f>IF(C62=0,0,C66/C62)</f>
        <v/>
      </c>
      <c r="D63" s="25">
        <f>IF(D62=0,0,D66/D62)</f>
        <v/>
      </c>
      <c r="E63" s="25">
        <f>IF(E62=0,0,E66/E62)</f>
        <v/>
      </c>
      <c r="F63" s="25">
        <f>IF(F62=0,0,F66/F62)</f>
        <v/>
      </c>
      <c r="G63" s="25">
        <f>IF(G62=0,0,G66/G62)</f>
        <v/>
      </c>
      <c r="H63" s="25">
        <f>IF(H62=0,0,H66/H62)</f>
        <v/>
      </c>
      <c r="I63" s="25">
        <f>IF(I62=0,0,I66/I62)</f>
        <v/>
      </c>
      <c r="J63" s="25">
        <f>IF(J62=0,0,J66/J62)</f>
        <v/>
      </c>
      <c r="K63" s="25">
        <f>IF(K62=0,0,K66/K62)</f>
        <v/>
      </c>
      <c r="L63" s="25">
        <f>IF(L62=0,0,L66/L62)</f>
        <v/>
      </c>
      <c r="M63" s="25">
        <f>IF(M62=0,0,M66/M62)</f>
        <v/>
      </c>
      <c r="N63" s="10" t="inlineStr">
        <is>
          <t>$M / store</t>
        </is>
      </c>
      <c r="O63" s="10" t="inlineStr">
        <is>
          <t>Last Yr calibrated = store merchandise sales / average stores; grows at same-store-sales assumption.</t>
        </is>
      </c>
    </row>
    <row r="65">
      <c r="A65" s="22" t="inlineStr">
        <is>
          <t>Income stmt</t>
        </is>
      </c>
      <c r="B65" s="23" t="inlineStr">
        <is>
          <t>INCOME STATEMENT</t>
        </is>
      </c>
      <c r="C65" s="24" t="n"/>
      <c r="D65" s="24" t="n"/>
      <c r="E65" s="24" t="n"/>
      <c r="F65" s="24" t="n"/>
      <c r="G65" s="24" t="n"/>
      <c r="H65" s="24" t="n"/>
      <c r="I65" s="24" t="n"/>
      <c r="J65" s="24" t="n"/>
      <c r="K65" s="24" t="n"/>
      <c r="L65" s="24" t="n"/>
      <c r="M65" s="24" t="n"/>
      <c r="N65" s="24" t="n"/>
      <c r="O65" s="24" t="n"/>
    </row>
    <row r="66">
      <c r="B66" s="7" t="inlineStr">
        <is>
          <t>Store merchandise sales (average stores x sales per store)</t>
        </is>
      </c>
      <c r="C66" s="30">
        <f>'Model - NA'!C66+'Model - INTL'!C66+'Model - OTHER'!C66</f>
        <v/>
      </c>
      <c r="D66" s="30">
        <f>'Model - NA'!D66+'Model - INTL'!D66+'Model - OTHER'!D66</f>
        <v/>
      </c>
      <c r="E66" s="30">
        <f>'Model - NA'!E66+'Model - INTL'!E66+'Model - OTHER'!E66</f>
        <v/>
      </c>
      <c r="F66" s="30">
        <f>'Model - NA'!F66+'Model - INTL'!F66+'Model - OTHER'!F66</f>
        <v/>
      </c>
      <c r="G66" s="30">
        <f>'Model - NA'!G66+'Model - INTL'!G66+'Model - OTHER'!G66</f>
        <v/>
      </c>
      <c r="H66" s="30">
        <f>'Model - NA'!H66+'Model - INTL'!H66+'Model - OTHER'!H66</f>
        <v/>
      </c>
      <c r="I66" s="30">
        <f>'Model - NA'!I66+'Model - INTL'!I66+'Model - OTHER'!I66</f>
        <v/>
      </c>
      <c r="J66" s="30">
        <f>'Model - NA'!J66+'Model - INTL'!J66+'Model - OTHER'!J66</f>
        <v/>
      </c>
      <c r="K66" s="30">
        <f>'Model - NA'!K66+'Model - INTL'!K66+'Model - OTHER'!K66</f>
        <v/>
      </c>
      <c r="L66" s="30">
        <f>'Model - NA'!L66+'Model - INTL'!L66+'Model - OTHER'!L66</f>
        <v/>
      </c>
      <c r="M66" s="30">
        <f>'Model - NA'!M66+'Model - INTL'!M66+'Model - OTHER'!M66</f>
        <v/>
      </c>
      <c r="N66" s="10" t="inlineStr">
        <is>
          <t>$M</t>
        </is>
      </c>
      <c r="O66" s="10" t="inlineStr"/>
    </row>
    <row r="67">
      <c r="B67" s="7" t="inlineStr">
        <is>
          <t>E-commerce merchandise sales</t>
        </is>
      </c>
      <c r="C67" s="30">
        <f>'Model - NA'!C67+'Model - INTL'!C67+'Model - OTHER'!C67</f>
        <v/>
      </c>
      <c r="D67" s="30">
        <f>'Model - NA'!D67+'Model - INTL'!D67+'Model - OTHER'!D67</f>
        <v/>
      </c>
      <c r="E67" s="30">
        <f>'Model - NA'!E67+'Model - INTL'!E67+'Model - OTHER'!E67</f>
        <v/>
      </c>
      <c r="F67" s="30">
        <f>'Model - NA'!F67+'Model - INTL'!F67+'Model - OTHER'!F67</f>
        <v/>
      </c>
      <c r="G67" s="30">
        <f>'Model - NA'!G67+'Model - INTL'!G67+'Model - OTHER'!G67</f>
        <v/>
      </c>
      <c r="H67" s="30">
        <f>'Model - NA'!H67+'Model - INTL'!H67+'Model - OTHER'!H67</f>
        <v/>
      </c>
      <c r="I67" s="30">
        <f>'Model - NA'!I67+'Model - INTL'!I67+'Model - OTHER'!I67</f>
        <v/>
      </c>
      <c r="J67" s="30">
        <f>'Model - NA'!J67+'Model - INTL'!J67+'Model - OTHER'!J67</f>
        <v/>
      </c>
      <c r="K67" s="30">
        <f>'Model - NA'!K67+'Model - INTL'!K67+'Model - OTHER'!K67</f>
        <v/>
      </c>
      <c r="L67" s="30">
        <f>'Model - NA'!L67+'Model - INTL'!L67+'Model - OTHER'!L67</f>
        <v/>
      </c>
      <c r="M67" s="30">
        <f>'Model - NA'!M67+'Model - INTL'!M67+'Model - OTHER'!M67</f>
        <v/>
      </c>
      <c r="N67" s="10" t="inlineStr">
        <is>
          <t>$M</t>
        </is>
      </c>
      <c r="O67" s="10" t="inlineStr">
        <is>
          <t>Last Yr: NA 1,423.8 incl. James Allen + Blue Nile 481.5; company e-commerce 21.8% of sales.</t>
        </is>
      </c>
    </row>
    <row r="68">
      <c r="B68" s="7" t="inlineStr">
        <is>
          <t>Services revenue (extended service plans, repairs, custom design)</t>
        </is>
      </c>
      <c r="C68" s="30">
        <f>'Model - NA'!C68+'Model - INTL'!C68+'Model - OTHER'!C68</f>
        <v/>
      </c>
      <c r="D68" s="30">
        <f>'Model - NA'!D68+'Model - INTL'!D68+'Model - OTHER'!D68</f>
        <v/>
      </c>
      <c r="E68" s="30">
        <f>'Model - NA'!E68+'Model - INTL'!E68+'Model - OTHER'!E68</f>
        <v/>
      </c>
      <c r="F68" s="30">
        <f>'Model - NA'!F68+'Model - INTL'!F68+'Model - OTHER'!F68</f>
        <v/>
      </c>
      <c r="G68" s="30">
        <f>'Model - NA'!G68+'Model - INTL'!G68+'Model - OTHER'!G68</f>
        <v/>
      </c>
      <c r="H68" s="30">
        <f>'Model - NA'!H68+'Model - INTL'!H68+'Model - OTHER'!H68</f>
        <v/>
      </c>
      <c r="I68" s="30">
        <f>'Model - NA'!I68+'Model - INTL'!I68+'Model - OTHER'!I68</f>
        <v/>
      </c>
      <c r="J68" s="30">
        <f>'Model - NA'!J68+'Model - INTL'!J68+'Model - OTHER'!J68</f>
        <v/>
      </c>
      <c r="K68" s="30">
        <f>'Model - NA'!K68+'Model - INTL'!K68+'Model - OTHER'!K68</f>
        <v/>
      </c>
      <c r="L68" s="30">
        <f>'Model - NA'!L68+'Model - INTL'!L68+'Model - OTHER'!L68</f>
        <v/>
      </c>
      <c r="M68" s="30">
        <f>'Model - NA'!M68+'Model - INTL'!M68+'Model - OTHER'!M68</f>
        <v/>
      </c>
      <c r="N68" s="10" t="inlineStr">
        <is>
          <t>$M</t>
        </is>
      </c>
      <c r="O68" s="10" t="inlineStr">
        <is>
          <t>FY2026 services 803.5 consolidated (10-K); attach rate assumption x merchandise sales.</t>
        </is>
      </c>
    </row>
    <row r="69">
      <c r="B69" s="7" t="inlineStr">
        <is>
          <t>Other revenue (diamond sourcing / non-retail)</t>
        </is>
      </c>
      <c r="C69" s="30">
        <f>'Model - NA'!C69+'Model - INTL'!C69+'Model - OTHER'!C69</f>
        <v/>
      </c>
      <c r="D69" s="30">
        <f>'Model - NA'!D69+'Model - INTL'!D69+'Model - OTHER'!D69</f>
        <v/>
      </c>
      <c r="E69" s="30">
        <f>'Model - NA'!E69+'Model - INTL'!E69+'Model - OTHER'!E69</f>
        <v/>
      </c>
      <c r="F69" s="30">
        <f>'Model - NA'!F69+'Model - INTL'!F69+'Model - OTHER'!F69</f>
        <v/>
      </c>
      <c r="G69" s="30">
        <f>'Model - NA'!G69+'Model - INTL'!G69+'Model - OTHER'!G69</f>
        <v/>
      </c>
      <c r="H69" s="30">
        <f>'Model - NA'!H69+'Model - INTL'!H69+'Model - OTHER'!H69</f>
        <v/>
      </c>
      <c r="I69" s="30">
        <f>'Model - NA'!I69+'Model - INTL'!I69+'Model - OTHER'!I69</f>
        <v/>
      </c>
      <c r="J69" s="30">
        <f>'Model - NA'!J69+'Model - INTL'!J69+'Model - OTHER'!J69</f>
        <v/>
      </c>
      <c r="K69" s="30">
        <f>'Model - NA'!K69+'Model - INTL'!K69+'Model - OTHER'!K69</f>
        <v/>
      </c>
      <c r="L69" s="30">
        <f>'Model - NA'!L69+'Model - INTL'!L69+'Model - OTHER'!L69</f>
        <v/>
      </c>
      <c r="M69" s="30">
        <f>'Model - NA'!M69+'Model - INTL'!M69+'Model - OTHER'!M69</f>
        <v/>
      </c>
      <c r="N69" s="10" t="inlineStr">
        <is>
          <t>$M</t>
        </is>
      </c>
      <c r="O69" s="10" t="inlineStr">
        <is>
          <t>Diamond-sourcing sales to third parties (Other segment).</t>
        </is>
      </c>
    </row>
    <row r="70">
      <c r="B70" s="3" t="inlineStr">
        <is>
          <t>TOTAL SALES</t>
        </is>
      </c>
      <c r="C70" s="26">
        <f>SUM(C66:C69)</f>
        <v/>
      </c>
      <c r="D70" s="26">
        <f>SUM(D66:D69)</f>
        <v/>
      </c>
      <c r="E70" s="26">
        <f>SUM(E66:E69)</f>
        <v/>
      </c>
      <c r="F70" s="26">
        <f>SUM(F66:F69)</f>
        <v/>
      </c>
      <c r="G70" s="26">
        <f>SUM(G66:G69)</f>
        <v/>
      </c>
      <c r="H70" s="26">
        <f>SUM(H66:H69)</f>
        <v/>
      </c>
      <c r="I70" s="26">
        <f>SUM(I66:I69)</f>
        <v/>
      </c>
      <c r="J70" s="26">
        <f>SUM(J66:J69)</f>
        <v/>
      </c>
      <c r="K70" s="26">
        <f>SUM(K66:K69)</f>
        <v/>
      </c>
      <c r="L70" s="26">
        <f>SUM(L66:L69)</f>
        <v/>
      </c>
      <c r="M70" s="26">
        <f>SUM(M66:M69)</f>
        <v/>
      </c>
      <c r="N70" s="10" t="inlineStr">
        <is>
          <t>$M</t>
        </is>
      </c>
      <c r="O70" s="10" t="inlineStr">
        <is>
          <t>FY2026A ties to reported segment sales.</t>
        </is>
      </c>
    </row>
    <row r="71">
      <c r="B71" s="7" t="inlineStr">
        <is>
          <t>Revenue growth (calculated check row)</t>
        </is>
      </c>
      <c r="D71" s="19">
        <f>IF(C70=0,0,D70/C70-1)</f>
        <v/>
      </c>
      <c r="E71" s="19">
        <f>IF(D70=0,0,E70/D70-1)</f>
        <v/>
      </c>
      <c r="F71" s="19">
        <f>IF(E70=0,0,F70/E70-1)</f>
        <v/>
      </c>
      <c r="G71" s="19">
        <f>IF(F70=0,0,G70/F70-1)</f>
        <v/>
      </c>
      <c r="H71" s="19">
        <f>IF(G70=0,0,H70/G70-1)</f>
        <v/>
      </c>
      <c r="I71" s="19">
        <f>IF(H70=0,0,I70/H70-1)</f>
        <v/>
      </c>
      <c r="J71" s="19">
        <f>IF(I70=0,0,J70/I70-1)</f>
        <v/>
      </c>
      <c r="K71" s="19">
        <f>IF(J70=0,0,K70/J70-1)</f>
        <v/>
      </c>
      <c r="L71" s="19">
        <f>IF(K70=0,0,L70/K70-1)</f>
        <v/>
      </c>
      <c r="M71" s="19">
        <f>IF(L70=0,0,M70/L70-1)</f>
        <v/>
      </c>
      <c r="N71" s="10" t="inlineStr">
        <is>
          <t>%</t>
        </is>
      </c>
      <c r="O71" s="10" t="inlineStr"/>
    </row>
    <row r="72">
      <c r="B72" s="7" t="inlineStr">
        <is>
          <t>Cost of sales (merchandise, services and store occupancy)</t>
        </is>
      </c>
      <c r="C72" s="30">
        <f>'Model - NA'!C72+'Model - INTL'!C72+'Model - OTHER'!C72</f>
        <v/>
      </c>
      <c r="D72" s="30">
        <f>'Model - NA'!D72+'Model - INTL'!D72+'Model - OTHER'!D72</f>
        <v/>
      </c>
      <c r="E72" s="30">
        <f>'Model - NA'!E72+'Model - INTL'!E72+'Model - OTHER'!E72</f>
        <v/>
      </c>
      <c r="F72" s="30">
        <f>'Model - NA'!F72+'Model - INTL'!F72+'Model - OTHER'!F72</f>
        <v/>
      </c>
      <c r="G72" s="30">
        <f>'Model - NA'!G72+'Model - INTL'!G72+'Model - OTHER'!G72</f>
        <v/>
      </c>
      <c r="H72" s="30">
        <f>'Model - NA'!H72+'Model - INTL'!H72+'Model - OTHER'!H72</f>
        <v/>
      </c>
      <c r="I72" s="30">
        <f>'Model - NA'!I72+'Model - INTL'!I72+'Model - OTHER'!I72</f>
        <v/>
      </c>
      <c r="J72" s="30">
        <f>'Model - NA'!J72+'Model - INTL'!J72+'Model - OTHER'!J72</f>
        <v/>
      </c>
      <c r="K72" s="30">
        <f>'Model - NA'!K72+'Model - INTL'!K72+'Model - OTHER'!K72</f>
        <v/>
      </c>
      <c r="L72" s="30">
        <f>'Model - NA'!L72+'Model - INTL'!L72+'Model - OTHER'!L72</f>
        <v/>
      </c>
      <c r="M72" s="30">
        <f>'Model - NA'!M72+'Model - INTL'!M72+'Model - OTHER'!M72</f>
        <v/>
      </c>
      <c r="N72" s="10" t="inlineStr">
        <is>
          <t>$M</t>
        </is>
      </c>
      <c r="O72" s="10" t="inlineStr">
        <is>
          <t>Segment split of consolidated 4,119.0 is a team allocation (see Assumptions &amp; Sources).</t>
        </is>
      </c>
    </row>
    <row r="73">
      <c r="B73" s="3" t="inlineStr">
        <is>
          <t>Gross profit</t>
        </is>
      </c>
      <c r="C73" s="26">
        <f>C70-C72</f>
        <v/>
      </c>
      <c r="D73" s="26">
        <f>D70-D72</f>
        <v/>
      </c>
      <c r="E73" s="26">
        <f>E70-E72</f>
        <v/>
      </c>
      <c r="F73" s="26">
        <f>F70-F72</f>
        <v/>
      </c>
      <c r="G73" s="26">
        <f>G70-G72</f>
        <v/>
      </c>
      <c r="H73" s="26">
        <f>H70-H72</f>
        <v/>
      </c>
      <c r="I73" s="26">
        <f>I70-I72</f>
        <v/>
      </c>
      <c r="J73" s="26">
        <f>J70-J72</f>
        <v/>
      </c>
      <c r="K73" s="26">
        <f>K70-K72</f>
        <v/>
      </c>
      <c r="L73" s="26">
        <f>L70-L72</f>
        <v/>
      </c>
      <c r="M73" s="26">
        <f>M70-M72</f>
        <v/>
      </c>
      <c r="N73" s="10" t="inlineStr">
        <is>
          <t>$M</t>
        </is>
      </c>
      <c r="O73" s="10" t="inlineStr"/>
    </row>
    <row r="74">
      <c r="B74" s="7" t="inlineStr">
        <is>
          <t>Gross margin %</t>
        </is>
      </c>
      <c r="C74" s="19">
        <f>IF(C70=0,0,C73/C70)</f>
        <v/>
      </c>
      <c r="D74" s="19">
        <f>IF(D70=0,0,D73/D70)</f>
        <v/>
      </c>
      <c r="E74" s="19">
        <f>IF(E70=0,0,E73/E70)</f>
        <v/>
      </c>
      <c r="F74" s="19">
        <f>IF(F70=0,0,F73/F70)</f>
        <v/>
      </c>
      <c r="G74" s="19">
        <f>IF(G70=0,0,G73/G70)</f>
        <v/>
      </c>
      <c r="H74" s="19">
        <f>IF(H70=0,0,H73/H70)</f>
        <v/>
      </c>
      <c r="I74" s="19">
        <f>IF(I70=0,0,I73/I70)</f>
        <v/>
      </c>
      <c r="J74" s="19">
        <f>IF(J70=0,0,J73/J70)</f>
        <v/>
      </c>
      <c r="K74" s="19">
        <f>IF(K70=0,0,K73/K70)</f>
        <v/>
      </c>
      <c r="L74" s="19">
        <f>IF(L70=0,0,L73/L70)</f>
        <v/>
      </c>
      <c r="M74" s="19">
        <f>IF(M70=0,0,M73/M70)</f>
        <v/>
      </c>
      <c r="N74" s="10" t="inlineStr">
        <is>
          <t>%</t>
        </is>
      </c>
      <c r="O74" s="10" t="inlineStr"/>
    </row>
    <row r="75">
      <c r="B75" s="7" t="inlineStr">
        <is>
          <t>Variable SG&amp;A</t>
        </is>
      </c>
      <c r="C75" s="30">
        <f>'Model - NA'!C75+'Model - INTL'!C75+'Model - OTHER'!C75</f>
        <v/>
      </c>
      <c r="D75" s="30">
        <f>'Model - NA'!D75+'Model - INTL'!D75+'Model - OTHER'!D75</f>
        <v/>
      </c>
      <c r="E75" s="30">
        <f>'Model - NA'!E75+'Model - INTL'!E75+'Model - OTHER'!E75</f>
        <v/>
      </c>
      <c r="F75" s="30">
        <f>'Model - NA'!F75+'Model - INTL'!F75+'Model - OTHER'!F75</f>
        <v/>
      </c>
      <c r="G75" s="30">
        <f>'Model - NA'!G75+'Model - INTL'!G75+'Model - OTHER'!G75</f>
        <v/>
      </c>
      <c r="H75" s="30">
        <f>'Model - NA'!H75+'Model - INTL'!H75+'Model - OTHER'!H75</f>
        <v/>
      </c>
      <c r="I75" s="30">
        <f>'Model - NA'!I75+'Model - INTL'!I75+'Model - OTHER'!I75</f>
        <v/>
      </c>
      <c r="J75" s="30">
        <f>'Model - NA'!J75+'Model - INTL'!J75+'Model - OTHER'!J75</f>
        <v/>
      </c>
      <c r="K75" s="30">
        <f>'Model - NA'!K75+'Model - INTL'!K75+'Model - OTHER'!K75</f>
        <v/>
      </c>
      <c r="L75" s="30">
        <f>'Model - NA'!L75+'Model - INTL'!L75+'Model - OTHER'!L75</f>
        <v/>
      </c>
      <c r="M75" s="30">
        <f>'Model - NA'!M75+'Model - INTL'!M75+'Model - OTHER'!M75</f>
        <v/>
      </c>
      <c r="N75" s="10" t="inlineStr">
        <is>
          <t>$M</t>
        </is>
      </c>
      <c r="O75" s="10" t="inlineStr"/>
    </row>
    <row r="76">
      <c r="B76" s="7" t="inlineStr">
        <is>
          <t>Fixed SG&amp;A (net of cost savings)</t>
        </is>
      </c>
      <c r="C76" s="30">
        <f>'Model - NA'!C76+'Model - INTL'!C76+'Model - OTHER'!C76</f>
        <v/>
      </c>
      <c r="D76" s="30">
        <f>'Model - NA'!D76+'Model - INTL'!D76+'Model - OTHER'!D76</f>
        <v/>
      </c>
      <c r="E76" s="30">
        <f>'Model - NA'!E76+'Model - INTL'!E76+'Model - OTHER'!E76</f>
        <v/>
      </c>
      <c r="F76" s="30">
        <f>'Model - NA'!F76+'Model - INTL'!F76+'Model - OTHER'!F76</f>
        <v/>
      </c>
      <c r="G76" s="30">
        <f>'Model - NA'!G76+'Model - INTL'!G76+'Model - OTHER'!G76</f>
        <v/>
      </c>
      <c r="H76" s="30">
        <f>'Model - NA'!H76+'Model - INTL'!H76+'Model - OTHER'!H76</f>
        <v/>
      </c>
      <c r="I76" s="30">
        <f>'Model - NA'!I76+'Model - INTL'!I76+'Model - OTHER'!I76</f>
        <v/>
      </c>
      <c r="J76" s="30">
        <f>'Model - NA'!J76+'Model - INTL'!J76+'Model - OTHER'!J76</f>
        <v/>
      </c>
      <c r="K76" s="30">
        <f>'Model - NA'!K76+'Model - INTL'!K76+'Model - OTHER'!K76</f>
        <v/>
      </c>
      <c r="L76" s="30">
        <f>'Model - NA'!L76+'Model - INTL'!L76+'Model - OTHER'!L76</f>
        <v/>
      </c>
      <c r="M76" s="30">
        <f>'Model - NA'!M76+'Model - INTL'!M76+'Model - OTHER'!M76</f>
        <v/>
      </c>
      <c r="N76" s="10" t="inlineStr">
        <is>
          <t>$M</t>
        </is>
      </c>
      <c r="O76" s="10" t="inlineStr">
        <is>
          <t>Last Yr fixed SG&amp;A = segment SG&amp;A less variable component.</t>
        </is>
      </c>
    </row>
    <row r="77">
      <c r="B77" s="7" t="inlineStr">
        <is>
          <t>Total SG&amp;A</t>
        </is>
      </c>
      <c r="C77" s="21">
        <f>C75+C76</f>
        <v/>
      </c>
      <c r="D77" s="21">
        <f>D75+D76</f>
        <v/>
      </c>
      <c r="E77" s="21">
        <f>E75+E76</f>
        <v/>
      </c>
      <c r="F77" s="21">
        <f>F75+F76</f>
        <v/>
      </c>
      <c r="G77" s="21">
        <f>G75+G76</f>
        <v/>
      </c>
      <c r="H77" s="21">
        <f>H75+H76</f>
        <v/>
      </c>
      <c r="I77" s="21">
        <f>I75+I76</f>
        <v/>
      </c>
      <c r="J77" s="21">
        <f>J75+J76</f>
        <v/>
      </c>
      <c r="K77" s="21">
        <f>K75+K76</f>
        <v/>
      </c>
      <c r="L77" s="21">
        <f>L75+L76</f>
        <v/>
      </c>
      <c r="M77" s="21">
        <f>M75+M76</f>
        <v/>
      </c>
      <c r="N77" s="10" t="inlineStr">
        <is>
          <t>$M</t>
        </is>
      </c>
      <c r="O77" s="10" t="inlineStr"/>
    </row>
    <row r="78">
      <c r="B78" s="7" t="inlineStr">
        <is>
          <t>SG&amp;A % of sales</t>
        </is>
      </c>
      <c r="C78" s="19">
        <f>IF(C70=0,0,C77/C70)</f>
        <v/>
      </c>
      <c r="D78" s="19">
        <f>IF(D70=0,0,D77/D70)</f>
        <v/>
      </c>
      <c r="E78" s="19">
        <f>IF(E70=0,0,E77/E70)</f>
        <v/>
      </c>
      <c r="F78" s="19">
        <f>IF(F70=0,0,F77/F70)</f>
        <v/>
      </c>
      <c r="G78" s="19">
        <f>IF(G70=0,0,G77/G70)</f>
        <v/>
      </c>
      <c r="H78" s="19">
        <f>IF(H70=0,0,H77/H70)</f>
        <v/>
      </c>
      <c r="I78" s="19">
        <f>IF(I70=0,0,I77/I70)</f>
        <v/>
      </c>
      <c r="J78" s="19">
        <f>IF(J70=0,0,J77/J70)</f>
        <v/>
      </c>
      <c r="K78" s="19">
        <f>IF(K70=0,0,K77/K70)</f>
        <v/>
      </c>
      <c r="L78" s="19">
        <f>IF(L70=0,0,L77/L70)</f>
        <v/>
      </c>
      <c r="M78" s="19">
        <f>IF(M70=0,0,M77/M70)</f>
        <v/>
      </c>
      <c r="N78" s="10" t="inlineStr">
        <is>
          <t>%</t>
        </is>
      </c>
      <c r="O78" s="10" t="inlineStr"/>
    </row>
    <row r="79">
      <c r="B79" s="7" t="inlineStr">
        <is>
          <t>Other operating income / (expense)</t>
        </is>
      </c>
      <c r="C79" s="30">
        <f>'Model - NA'!C79+'Model - INTL'!C79+'Model - OTHER'!C79</f>
        <v/>
      </c>
      <c r="D79" s="30">
        <f>'Model - NA'!D79+'Model - INTL'!D79+'Model - OTHER'!D79</f>
        <v/>
      </c>
      <c r="E79" s="30">
        <f>'Model - NA'!E79+'Model - INTL'!E79+'Model - OTHER'!E79</f>
        <v/>
      </c>
      <c r="F79" s="30">
        <f>'Model - NA'!F79+'Model - INTL'!F79+'Model - OTHER'!F79</f>
        <v/>
      </c>
      <c r="G79" s="30">
        <f>'Model - NA'!G79+'Model - INTL'!G79+'Model - OTHER'!G79</f>
        <v/>
      </c>
      <c r="H79" s="30">
        <f>'Model - NA'!H79+'Model - INTL'!H79+'Model - OTHER'!H79</f>
        <v/>
      </c>
      <c r="I79" s="30">
        <f>'Model - NA'!I79+'Model - INTL'!I79+'Model - OTHER'!I79</f>
        <v/>
      </c>
      <c r="J79" s="30">
        <f>'Model - NA'!J79+'Model - INTL'!J79+'Model - OTHER'!J79</f>
        <v/>
      </c>
      <c r="K79" s="30">
        <f>'Model - NA'!K79+'Model - INTL'!K79+'Model - OTHER'!K79</f>
        <v/>
      </c>
      <c r="L79" s="30">
        <f>'Model - NA'!L79+'Model - INTL'!L79+'Model - OTHER'!L79</f>
        <v/>
      </c>
      <c r="M79" s="30">
        <f>'Model - NA'!M79+'Model - INTL'!M79+'Model - OTHER'!M79</f>
        <v/>
      </c>
      <c r="N79" s="10" t="inlineStr">
        <is>
          <t>$M</t>
        </is>
      </c>
      <c r="O79" s="10" t="inlineStr">
        <is>
          <t>Last Yr: impairments &amp; restructuring (consolidated -128.3); projection = one-time assumption row.</t>
        </is>
      </c>
    </row>
    <row r="80">
      <c r="B80" s="3" t="inlineStr">
        <is>
          <t>OPERATING INCOME</t>
        </is>
      </c>
      <c r="C80" s="26">
        <f>C73-C77+C79</f>
        <v/>
      </c>
      <c r="D80" s="26">
        <f>D73-D77+D79</f>
        <v/>
      </c>
      <c r="E80" s="26">
        <f>E73-E77+E79</f>
        <v/>
      </c>
      <c r="F80" s="26">
        <f>F73-F77+F79</f>
        <v/>
      </c>
      <c r="G80" s="26">
        <f>G73-G77+G79</f>
        <v/>
      </c>
      <c r="H80" s="26">
        <f>H73-H77+H79</f>
        <v/>
      </c>
      <c r="I80" s="26">
        <f>I73-I77+I79</f>
        <v/>
      </c>
      <c r="J80" s="26">
        <f>J73-J77+J79</f>
        <v/>
      </c>
      <c r="K80" s="26">
        <f>K73-K77+K79</f>
        <v/>
      </c>
      <c r="L80" s="26">
        <f>L73-L77+L79</f>
        <v/>
      </c>
      <c r="M80" s="26">
        <f>M73-M77+M79</f>
        <v/>
      </c>
      <c r="N80" s="10" t="inlineStr">
        <is>
          <t>$M</t>
        </is>
      </c>
      <c r="O80" s="10" t="inlineStr">
        <is>
          <t>FY2026A ties to reported segment operating income.</t>
        </is>
      </c>
    </row>
    <row r="81">
      <c r="B81" s="7" t="inlineStr">
        <is>
          <t>Operating margin %</t>
        </is>
      </c>
      <c r="C81" s="19">
        <f>IF(C70=0,0,C80/C70)</f>
        <v/>
      </c>
      <c r="D81" s="19">
        <f>IF(D70=0,0,D80/D70)</f>
        <v/>
      </c>
      <c r="E81" s="19">
        <f>IF(E70=0,0,E80/E70)</f>
        <v/>
      </c>
      <c r="F81" s="19">
        <f>IF(F70=0,0,F80/F70)</f>
        <v/>
      </c>
      <c r="G81" s="19">
        <f>IF(G70=0,0,G80/G70)</f>
        <v/>
      </c>
      <c r="H81" s="19">
        <f>IF(H70=0,0,H80/H70)</f>
        <v/>
      </c>
      <c r="I81" s="19">
        <f>IF(I70=0,0,I80/I70)</f>
        <v/>
      </c>
      <c r="J81" s="19">
        <f>IF(J70=0,0,J80/J70)</f>
        <v/>
      </c>
      <c r="K81" s="19">
        <f>IF(K70=0,0,K80/K70)</f>
        <v/>
      </c>
      <c r="L81" s="19">
        <f>IF(L70=0,0,L80/L70)</f>
        <v/>
      </c>
      <c r="M81" s="19">
        <f>IF(M70=0,0,M80/M70)</f>
        <v/>
      </c>
      <c r="N81" s="10" t="inlineStr">
        <is>
          <t>%</t>
        </is>
      </c>
      <c r="O81" s="10" t="inlineStr"/>
    </row>
    <row r="82">
      <c r="B82" s="7" t="inlineStr">
        <is>
          <t>Interest income on invested assets (yield x prior-year cash)</t>
        </is>
      </c>
      <c r="C82" s="30">
        <f>'Model - NA'!C82+'Model - INTL'!C82+'Model - OTHER'!C82</f>
        <v/>
      </c>
      <c r="D82" s="30">
        <f>'Model - NA'!D82+'Model - INTL'!D82+'Model - OTHER'!D82</f>
        <v/>
      </c>
      <c r="E82" s="30">
        <f>'Model - NA'!E82+'Model - INTL'!E82+'Model - OTHER'!E82</f>
        <v/>
      </c>
      <c r="F82" s="30">
        <f>'Model - NA'!F82+'Model - INTL'!F82+'Model - OTHER'!F82</f>
        <v/>
      </c>
      <c r="G82" s="30">
        <f>'Model - NA'!G82+'Model - INTL'!G82+'Model - OTHER'!G82</f>
        <v/>
      </c>
      <c r="H82" s="30">
        <f>'Model - NA'!H82+'Model - INTL'!H82+'Model - OTHER'!H82</f>
        <v/>
      </c>
      <c r="I82" s="30">
        <f>'Model - NA'!I82+'Model - INTL'!I82+'Model - OTHER'!I82</f>
        <v/>
      </c>
      <c r="J82" s="30">
        <f>'Model - NA'!J82+'Model - INTL'!J82+'Model - OTHER'!J82</f>
        <v/>
      </c>
      <c r="K82" s="30">
        <f>'Model - NA'!K82+'Model - INTL'!K82+'Model - OTHER'!K82</f>
        <v/>
      </c>
      <c r="L82" s="30">
        <f>'Model - NA'!L82+'Model - INTL'!L82+'Model - OTHER'!L82</f>
        <v/>
      </c>
      <c r="M82" s="30">
        <f>'Model - NA'!M82+'Model - INTL'!M82+'Model - OTHER'!M82</f>
        <v/>
      </c>
      <c r="N82" s="10" t="inlineStr">
        <is>
          <t>$M</t>
        </is>
      </c>
      <c r="O82" s="10" t="inlineStr">
        <is>
          <t>Last Yr = allocated share of 4.0 net interest + 1.0 other non-operating income.</t>
        </is>
      </c>
    </row>
    <row r="83">
      <c r="B83" s="7" t="inlineStr">
        <is>
          <t>Interest expense on debt (rate x prior-year debt)</t>
        </is>
      </c>
      <c r="C83" s="30">
        <f>'Model - NA'!C83+'Model - INTL'!C83+'Model - OTHER'!C83</f>
        <v/>
      </c>
      <c r="D83" s="30">
        <f>'Model - NA'!D83+'Model - INTL'!D83+'Model - OTHER'!D83</f>
        <v/>
      </c>
      <c r="E83" s="30">
        <f>'Model - NA'!E83+'Model - INTL'!E83+'Model - OTHER'!E83</f>
        <v/>
      </c>
      <c r="F83" s="30">
        <f>'Model - NA'!F83+'Model - INTL'!F83+'Model - OTHER'!F83</f>
        <v/>
      </c>
      <c r="G83" s="30">
        <f>'Model - NA'!G83+'Model - INTL'!G83+'Model - OTHER'!G83</f>
        <v/>
      </c>
      <c r="H83" s="30">
        <f>'Model - NA'!H83+'Model - INTL'!H83+'Model - OTHER'!H83</f>
        <v/>
      </c>
      <c r="I83" s="30">
        <f>'Model - NA'!I83+'Model - INTL'!I83+'Model - OTHER'!I83</f>
        <v/>
      </c>
      <c r="J83" s="30">
        <f>'Model - NA'!J83+'Model - INTL'!J83+'Model - OTHER'!J83</f>
        <v/>
      </c>
      <c r="K83" s="30">
        <f>'Model - NA'!K83+'Model - INTL'!K83+'Model - OTHER'!K83</f>
        <v/>
      </c>
      <c r="L83" s="30">
        <f>'Model - NA'!L83+'Model - INTL'!L83+'Model - OTHER'!L83</f>
        <v/>
      </c>
      <c r="M83" s="30">
        <f>'Model - NA'!M83+'Model - INTL'!M83+'Model - OTHER'!M83</f>
        <v/>
      </c>
      <c r="N83" s="10" t="inlineStr">
        <is>
          <t>$M</t>
        </is>
      </c>
      <c r="O83" s="10" t="inlineStr"/>
    </row>
    <row r="84">
      <c r="B84" s="3" t="inlineStr">
        <is>
          <t>Income before income taxes</t>
        </is>
      </c>
      <c r="C84" s="26">
        <f>C80+C82-C83</f>
        <v/>
      </c>
      <c r="D84" s="26">
        <f>D80+D82-D83</f>
        <v/>
      </c>
      <c r="E84" s="26">
        <f>E80+E82-E83</f>
        <v/>
      </c>
      <c r="F84" s="26">
        <f>F80+F82-F83</f>
        <v/>
      </c>
      <c r="G84" s="26">
        <f>G80+G82-G83</f>
        <v/>
      </c>
      <c r="H84" s="26">
        <f>H80+H82-H83</f>
        <v/>
      </c>
      <c r="I84" s="26">
        <f>I80+I82-I83</f>
        <v/>
      </c>
      <c r="J84" s="26">
        <f>J80+J82-J83</f>
        <v/>
      </c>
      <c r="K84" s="26">
        <f>K80+K82-K83</f>
        <v/>
      </c>
      <c r="L84" s="26">
        <f>L80+L82-L83</f>
        <v/>
      </c>
      <c r="M84" s="26">
        <f>M80+M82-M83</f>
        <v/>
      </c>
      <c r="N84" s="10" t="inlineStr">
        <is>
          <t>$M</t>
        </is>
      </c>
      <c r="O84" s="10" t="inlineStr"/>
    </row>
    <row r="85">
      <c r="B85" s="7" t="inlineStr">
        <is>
          <t>Pre-tax margin %</t>
        </is>
      </c>
      <c r="C85" s="19">
        <f>IF(C70=0,0,C84/C70)</f>
        <v/>
      </c>
      <c r="D85" s="19">
        <f>IF(D70=0,0,D84/D70)</f>
        <v/>
      </c>
      <c r="E85" s="19">
        <f>IF(E70=0,0,E84/E70)</f>
        <v/>
      </c>
      <c r="F85" s="19">
        <f>IF(F70=0,0,F84/F70)</f>
        <v/>
      </c>
      <c r="G85" s="19">
        <f>IF(G70=0,0,G84/G70)</f>
        <v/>
      </c>
      <c r="H85" s="19">
        <f>IF(H70=0,0,H84/H70)</f>
        <v/>
      </c>
      <c r="I85" s="19">
        <f>IF(I70=0,0,I84/I70)</f>
        <v/>
      </c>
      <c r="J85" s="19">
        <f>IF(J70=0,0,J84/J70)</f>
        <v/>
      </c>
      <c r="K85" s="19">
        <f>IF(K70=0,0,K84/K70)</f>
        <v/>
      </c>
      <c r="L85" s="19">
        <f>IF(L70=0,0,L84/L70)</f>
        <v/>
      </c>
      <c r="M85" s="19">
        <f>IF(M70=0,0,M84/M70)</f>
        <v/>
      </c>
      <c r="N85" s="10" t="inlineStr">
        <is>
          <t>%</t>
        </is>
      </c>
      <c r="O85" s="10" t="inlineStr"/>
    </row>
    <row r="86">
      <c r="B86" s="7" t="inlineStr">
        <is>
          <t>Income taxes</t>
        </is>
      </c>
      <c r="C86" s="30">
        <f>'Model - NA'!C86+'Model - INTL'!C86+'Model - OTHER'!C86</f>
        <v/>
      </c>
      <c r="D86" s="30">
        <f>'Model - NA'!D86+'Model - INTL'!D86+'Model - OTHER'!D86</f>
        <v/>
      </c>
      <c r="E86" s="30">
        <f>'Model - NA'!E86+'Model - INTL'!E86+'Model - OTHER'!E86</f>
        <v/>
      </c>
      <c r="F86" s="30">
        <f>'Model - NA'!F86+'Model - INTL'!F86+'Model - OTHER'!F86</f>
        <v/>
      </c>
      <c r="G86" s="30">
        <f>'Model - NA'!G86+'Model - INTL'!G86+'Model - OTHER'!G86</f>
        <v/>
      </c>
      <c r="H86" s="30">
        <f>'Model - NA'!H86+'Model - INTL'!H86+'Model - OTHER'!H86</f>
        <v/>
      </c>
      <c r="I86" s="30">
        <f>'Model - NA'!I86+'Model - INTL'!I86+'Model - OTHER'!I86</f>
        <v/>
      </c>
      <c r="J86" s="30">
        <f>'Model - NA'!J86+'Model - INTL'!J86+'Model - OTHER'!J86</f>
        <v/>
      </c>
      <c r="K86" s="30">
        <f>'Model - NA'!K86+'Model - INTL'!K86+'Model - OTHER'!K86</f>
        <v/>
      </c>
      <c r="L86" s="30">
        <f>'Model - NA'!L86+'Model - INTL'!L86+'Model - OTHER'!L86</f>
        <v/>
      </c>
      <c r="M86" s="30">
        <f>'Model - NA'!M86+'Model - INTL'!M86+'Model - OTHER'!M86</f>
        <v/>
      </c>
      <c r="N86" s="10" t="inlineStr">
        <is>
          <t>$M</t>
        </is>
      </c>
      <c r="O86" s="10" t="inlineStr">
        <is>
          <t>Last Yr = allocated share of 103.7 (26.0% effective rate).</t>
        </is>
      </c>
    </row>
    <row r="87">
      <c r="B87" s="3" t="inlineStr">
        <is>
          <t>NET INCOME</t>
        </is>
      </c>
      <c r="C87" s="26">
        <f>C84-C86</f>
        <v/>
      </c>
      <c r="D87" s="26">
        <f>D84-D86</f>
        <v/>
      </c>
      <c r="E87" s="26">
        <f>E84-E86</f>
        <v/>
      </c>
      <c r="F87" s="26">
        <f>F84-F86</f>
        <v/>
      </c>
      <c r="G87" s="26">
        <f>G84-G86</f>
        <v/>
      </c>
      <c r="H87" s="26">
        <f>H84-H86</f>
        <v/>
      </c>
      <c r="I87" s="26">
        <f>I84-I86</f>
        <v/>
      </c>
      <c r="J87" s="26">
        <f>J84-J86</f>
        <v/>
      </c>
      <c r="K87" s="26">
        <f>K84-K86</f>
        <v/>
      </c>
      <c r="L87" s="26">
        <f>L84-L86</f>
        <v/>
      </c>
      <c r="M87" s="26">
        <f>M84-M86</f>
        <v/>
      </c>
      <c r="N87" s="10" t="inlineStr">
        <is>
          <t>$M</t>
        </is>
      </c>
      <c r="O87" s="10" t="inlineStr"/>
    </row>
    <row r="88">
      <c r="B88" s="7" t="inlineStr">
        <is>
          <t>Net margin %</t>
        </is>
      </c>
      <c r="C88" s="19">
        <f>IF(C70=0,0,C87/C70)</f>
        <v/>
      </c>
      <c r="D88" s="19">
        <f>IF(D70=0,0,D87/D70)</f>
        <v/>
      </c>
      <c r="E88" s="19">
        <f>IF(E70=0,0,E87/E70)</f>
        <v/>
      </c>
      <c r="F88" s="19">
        <f>IF(F70=0,0,F87/F70)</f>
        <v/>
      </c>
      <c r="G88" s="19">
        <f>IF(G70=0,0,G87/G70)</f>
        <v/>
      </c>
      <c r="H88" s="19">
        <f>IF(H70=0,0,H87/H70)</f>
        <v/>
      </c>
      <c r="I88" s="19">
        <f>IF(I70=0,0,I87/I70)</f>
        <v/>
      </c>
      <c r="J88" s="19">
        <f>IF(J70=0,0,J87/J70)</f>
        <v/>
      </c>
      <c r="K88" s="19">
        <f>IF(K70=0,0,K87/K70)</f>
        <v/>
      </c>
      <c r="L88" s="19">
        <f>IF(L70=0,0,L87/L70)</f>
        <v/>
      </c>
      <c r="M88" s="19">
        <f>IF(M70=0,0,M87/M70)</f>
        <v/>
      </c>
      <c r="N88" s="10" t="inlineStr">
        <is>
          <t>%</t>
        </is>
      </c>
      <c r="O88" s="10" t="inlineStr"/>
    </row>
    <row r="90">
      <c r="A90" s="22" t="inlineStr">
        <is>
          <t>Valuation</t>
        </is>
      </c>
      <c r="B90" s="23" t="inlineStr">
        <is>
          <t>DISTRIBUTIONS &amp; VALUATION (profits-released approach)</t>
        </is>
      </c>
      <c r="C90" s="24" t="n"/>
      <c r="D90" s="24" t="n"/>
      <c r="E90" s="24" t="n"/>
      <c r="F90" s="24" t="n"/>
      <c r="G90" s="24" t="n"/>
      <c r="H90" s="24" t="n"/>
      <c r="I90" s="24" t="n"/>
      <c r="J90" s="24" t="n"/>
      <c r="K90" s="24" t="n"/>
      <c r="L90" s="24" t="n"/>
      <c r="M90" s="24" t="n"/>
      <c r="N90" s="24" t="n"/>
      <c r="O90" s="24" t="n"/>
    </row>
    <row r="91">
      <c r="B91" s="7" t="inlineStr">
        <is>
          <t>Distributions to shareholders (dividends + buybacks = net income)</t>
        </is>
      </c>
      <c r="C91" s="21">
        <f>C87</f>
        <v/>
      </c>
      <c r="D91" s="21">
        <f>D87</f>
        <v/>
      </c>
      <c r="E91" s="21">
        <f>E87</f>
        <v/>
      </c>
      <c r="F91" s="21">
        <f>F87</f>
        <v/>
      </c>
      <c r="G91" s="21">
        <f>G87</f>
        <v/>
      </c>
      <c r="H91" s="21">
        <f>H87</f>
        <v/>
      </c>
      <c r="I91" s="21">
        <f>I87</f>
        <v/>
      </c>
      <c r="J91" s="21">
        <f>J87</f>
        <v/>
      </c>
      <c r="K91" s="21">
        <f>K87</f>
        <v/>
      </c>
      <c r="L91" s="21">
        <f>L87</f>
        <v/>
      </c>
      <c r="M91" s="21">
        <f>M87</f>
        <v/>
      </c>
      <c r="N91" s="10" t="inlineStr">
        <is>
          <t>$M</t>
        </is>
      </c>
      <c r="O91" s="10" t="inlineStr">
        <is>
          <t>Profits released: 100% of net income distributed (dividends + buybacks).</t>
        </is>
      </c>
    </row>
    <row r="92">
      <c r="B92" s="7" t="inlineStr">
        <is>
          <t>Earnings retained in equity</t>
        </is>
      </c>
      <c r="C92" s="21">
        <f>C87-C91</f>
        <v/>
      </c>
      <c r="D92" s="21">
        <f>D87-D91</f>
        <v/>
      </c>
      <c r="E92" s="21">
        <f>E87-E91</f>
        <v/>
      </c>
      <c r="F92" s="21">
        <f>F87-F91</f>
        <v/>
      </c>
      <c r="G92" s="21">
        <f>G87-G91</f>
        <v/>
      </c>
      <c r="H92" s="21">
        <f>H87-H91</f>
        <v/>
      </c>
      <c r="I92" s="21">
        <f>I87-I91</f>
        <v/>
      </c>
      <c r="J92" s="21">
        <f>J87-J91</f>
        <v/>
      </c>
      <c r="K92" s="21">
        <f>K87-K91</f>
        <v/>
      </c>
      <c r="L92" s="21">
        <f>L87-L91</f>
        <v/>
      </c>
      <c r="M92" s="21">
        <f>M87-M91</f>
        <v/>
      </c>
      <c r="N92" s="10" t="inlineStr">
        <is>
          <t>$M</t>
        </is>
      </c>
      <c r="O92" s="10" t="inlineStr">
        <is>
          <t>Zero under profits released; would be positive under profits retained.</t>
        </is>
      </c>
    </row>
    <row r="93">
      <c r="B93" s="7" t="inlineStr">
        <is>
          <t>Distributable cash flow to shareholders (discounted below)</t>
        </is>
      </c>
      <c r="D93" s="30">
        <f>'Model - NA'!D93+'Model - INTL'!D93+'Model - OTHER'!D93</f>
        <v/>
      </c>
      <c r="E93" s="30">
        <f>'Model - NA'!E93+'Model - INTL'!E93+'Model - OTHER'!E93</f>
        <v/>
      </c>
      <c r="F93" s="30">
        <f>'Model - NA'!F93+'Model - INTL'!F93+'Model - OTHER'!F93</f>
        <v/>
      </c>
      <c r="G93" s="30">
        <f>'Model - NA'!G93+'Model - INTL'!G93+'Model - OTHER'!G93</f>
        <v/>
      </c>
      <c r="H93" s="30">
        <f>'Model - NA'!H93+'Model - INTL'!H93+'Model - OTHER'!H93</f>
        <v/>
      </c>
      <c r="I93" s="30">
        <f>'Model - NA'!I93+'Model - INTL'!I93+'Model - OTHER'!I93</f>
        <v/>
      </c>
      <c r="J93" s="30">
        <f>'Model - NA'!J93+'Model - INTL'!J93+'Model - OTHER'!J93</f>
        <v/>
      </c>
      <c r="K93" s="30">
        <f>'Model - NA'!K93+'Model - INTL'!K93+'Model - OTHER'!K93</f>
        <v/>
      </c>
      <c r="L93" s="30">
        <f>'Model - NA'!L93+'Model - INTL'!L93+'Model - OTHER'!L93</f>
        <v/>
      </c>
      <c r="M93" s="30">
        <f>'Model - NA'!M93+'Model - INTL'!M93+'Model - OTHER'!M93</f>
        <v/>
      </c>
      <c r="N93" s="10" t="inlineStr">
        <is>
          <t>$M</t>
        </is>
      </c>
      <c r="O93" s="10" t="inlineStr"/>
    </row>
    <row r="94">
      <c r="B94" s="7" t="inlineStr">
        <is>
          <t>Discount rate used (from scenario block)</t>
        </is>
      </c>
      <c r="C94" s="31" t="inlineStr">
        <is>
          <t>n/a</t>
        </is>
      </c>
      <c r="N94" s="10" t="inlineStr">
        <is>
          <t>%</t>
        </is>
      </c>
      <c r="O94" s="10" t="inlineStr">
        <is>
          <t>n/a at total level: discount rates are applied segment by segment.</t>
        </is>
      </c>
    </row>
    <row r="95">
      <c r="B95" s="7" t="inlineStr">
        <is>
          <t>Terminal value = shareholders' equity at end of FY2036</t>
        </is>
      </c>
      <c r="C95" s="30">
        <f>'Model - NA'!C95+'Model - INTL'!C95+'Model - OTHER'!C95</f>
        <v/>
      </c>
      <c r="N95" s="10" t="inlineStr">
        <is>
          <t>$M</t>
        </is>
      </c>
      <c r="O95" s="10" t="inlineStr"/>
    </row>
    <row r="96">
      <c r="B96" s="7" t="inlineStr">
        <is>
          <t>PV of FY2027-FY2036 distributable cash flows</t>
        </is>
      </c>
      <c r="C96" s="30">
        <f>'Model - NA'!C96+'Model - INTL'!C96+'Model - OTHER'!C96</f>
        <v/>
      </c>
      <c r="N96" s="10" t="inlineStr">
        <is>
          <t>$M</t>
        </is>
      </c>
      <c r="O96" s="10" t="inlineStr">
        <is>
          <t>NPV over the 10 model years (end-of-year cash flows).</t>
        </is>
      </c>
    </row>
    <row r="97">
      <c r="B97" s="7" t="inlineStr">
        <is>
          <t>PV of terminal value</t>
        </is>
      </c>
      <c r="C97" s="30">
        <f>'Model - NA'!C97+'Model - INTL'!C97+'Model - OTHER'!C97</f>
        <v/>
      </c>
      <c r="N97" s="10" t="inlineStr">
        <is>
          <t>$M</t>
        </is>
      </c>
      <c r="O97" s="10" t="inlineStr">
        <is>
          <t>Terminal equity discounted 10 years.</t>
        </is>
      </c>
    </row>
    <row r="98">
      <c r="B98" s="3" t="inlineStr">
        <is>
          <t>SEGMENT VALUE - BASELINE (snapshot, hard-coded for 3(d) comparison)</t>
        </is>
      </c>
      <c r="C98" s="32">
        <f>'Model - NA'!C98+'Model - INTL'!C98+'Model - OTHER'!C98</f>
        <v/>
      </c>
      <c r="N98" s="10" t="inlineStr">
        <is>
          <t>$M</t>
        </is>
      </c>
      <c r="O98" s="10" t="inlineStr">
        <is>
          <t>Sum of the three segment baseline snapshots (green links).</t>
        </is>
      </c>
    </row>
    <row r="99">
      <c r="B99" s="3" t="inlineStr">
        <is>
          <t>SEGMENT VALUE - SCENARIO RUN (live formula)</t>
        </is>
      </c>
      <c r="C99" s="26">
        <f>C96+C97</f>
        <v/>
      </c>
      <c r="N99" s="10" t="inlineStr">
        <is>
          <t>$M</t>
        </is>
      </c>
      <c r="O99" s="10" t="inlineStr">
        <is>
          <t>PV of distributable cash flows + PV of terminal equity.</t>
        </is>
      </c>
    </row>
    <row r="100">
      <c r="B100" s="7" t="inlineStr">
        <is>
          <t>% change vs baseline</t>
        </is>
      </c>
      <c r="C100" s="19">
        <f>IF(C98=0,0,C99/C98-1)</f>
        <v/>
      </c>
      <c r="N100" s="10" t="inlineStr">
        <is>
          <t>%</t>
        </is>
      </c>
      <c r="O100" s="10" t="inlineStr"/>
    </row>
    <row r="101">
      <c r="B101" s="7" t="inlineStr">
        <is>
          <t>$ change vs baseline</t>
        </is>
      </c>
      <c r="C101" s="21">
        <f>C99-C98</f>
        <v/>
      </c>
      <c r="N101" s="10" t="inlineStr">
        <is>
          <t>$M</t>
        </is>
      </c>
      <c r="O101" s="10" t="inlineStr"/>
    </row>
    <row r="103">
      <c r="A103" s="22" t="inlineStr">
        <is>
          <t>Balance sheet</t>
        </is>
      </c>
      <c r="B103" s="23" t="inlineStr">
        <is>
          <t>BALANCE SHEET (simplified, cash basis, year-end)</t>
        </is>
      </c>
      <c r="C103" s="24" t="n"/>
      <c r="D103" s="24" t="n"/>
      <c r="E103" s="24" t="n"/>
      <c r="F103" s="24" t="n"/>
      <c r="G103" s="24" t="n"/>
      <c r="H103" s="24" t="n"/>
      <c r="I103" s="24" t="n"/>
      <c r="J103" s="24" t="n"/>
      <c r="K103" s="24" t="n"/>
      <c r="L103" s="24" t="n"/>
      <c r="M103" s="24" t="n"/>
      <c r="N103" s="24" t="n"/>
      <c r="O103" s="24" t="n"/>
    </row>
    <row r="104">
      <c r="B104" s="7" t="inlineStr">
        <is>
          <t>Invested assets (cash &amp; cash equivalents)</t>
        </is>
      </c>
      <c r="C104" s="30">
        <f>'Model - NA'!C104+'Model - INTL'!C104+'Model - OTHER'!C104</f>
        <v/>
      </c>
      <c r="D104" s="30">
        <f>'Model - NA'!D104+'Model - INTL'!D104+'Model - OTHER'!D104</f>
        <v/>
      </c>
      <c r="E104" s="30">
        <f>'Model - NA'!E104+'Model - INTL'!E104+'Model - OTHER'!E104</f>
        <v/>
      </c>
      <c r="F104" s="30">
        <f>'Model - NA'!F104+'Model - INTL'!F104+'Model - OTHER'!F104</f>
        <v/>
      </c>
      <c r="G104" s="30">
        <f>'Model - NA'!G104+'Model - INTL'!G104+'Model - OTHER'!G104</f>
        <v/>
      </c>
      <c r="H104" s="30">
        <f>'Model - NA'!H104+'Model - INTL'!H104+'Model - OTHER'!H104</f>
        <v/>
      </c>
      <c r="I104" s="30">
        <f>'Model - NA'!I104+'Model - INTL'!I104+'Model - OTHER'!I104</f>
        <v/>
      </c>
      <c r="J104" s="30">
        <f>'Model - NA'!J104+'Model - INTL'!J104+'Model - OTHER'!J104</f>
        <v/>
      </c>
      <c r="K104" s="30">
        <f>'Model - NA'!K104+'Model - INTL'!K104+'Model - OTHER'!K104</f>
        <v/>
      </c>
      <c r="L104" s="30">
        <f>'Model - NA'!L104+'Model - INTL'!L104+'Model - OTHER'!L104</f>
        <v/>
      </c>
      <c r="M104" s="30">
        <f>'Model - NA'!M104+'Model - INTL'!M104+'Model - OTHER'!M104</f>
        <v/>
      </c>
      <c r="N104" s="10" t="inlineStr">
        <is>
          <t>$M</t>
        </is>
      </c>
      <c r="O104" s="10" t="inlineStr">
        <is>
          <t>Static under profits released (grows only by retained earnings).</t>
        </is>
      </c>
    </row>
    <row r="105">
      <c r="B105" s="7" t="inlineStr">
        <is>
          <t>Inventory and other non-depreciating operating assets</t>
        </is>
      </c>
      <c r="C105" s="30">
        <f>'Model - NA'!C105+'Model - INTL'!C105+'Model - OTHER'!C105</f>
        <v/>
      </c>
      <c r="D105" s="30">
        <f>'Model - NA'!D105+'Model - INTL'!D105+'Model - OTHER'!D105</f>
        <v/>
      </c>
      <c r="E105" s="30">
        <f>'Model - NA'!E105+'Model - INTL'!E105+'Model - OTHER'!E105</f>
        <v/>
      </c>
      <c r="F105" s="30">
        <f>'Model - NA'!F105+'Model - INTL'!F105+'Model - OTHER'!F105</f>
        <v/>
      </c>
      <c r="G105" s="30">
        <f>'Model - NA'!G105+'Model - INTL'!G105+'Model - OTHER'!G105</f>
        <v/>
      </c>
      <c r="H105" s="30">
        <f>'Model - NA'!H105+'Model - INTL'!H105+'Model - OTHER'!H105</f>
        <v/>
      </c>
      <c r="I105" s="30">
        <f>'Model - NA'!I105+'Model - INTL'!I105+'Model - OTHER'!I105</f>
        <v/>
      </c>
      <c r="J105" s="30">
        <f>'Model - NA'!J105+'Model - INTL'!J105+'Model - OTHER'!J105</f>
        <v/>
      </c>
      <c r="K105" s="30">
        <f>'Model - NA'!K105+'Model - INTL'!K105+'Model - OTHER'!K105</f>
        <v/>
      </c>
      <c r="L105" s="30">
        <f>'Model - NA'!L105+'Model - INTL'!L105+'Model - OTHER'!L105</f>
        <v/>
      </c>
      <c r="M105" s="30">
        <f>'Model - NA'!M105+'Model - INTL'!M105+'Model - OTHER'!M105</f>
        <v/>
      </c>
      <c r="N105" s="10" t="inlineStr">
        <is>
          <t>$M</t>
        </is>
      </c>
      <c r="O105" s="10" t="inlineStr">
        <is>
          <t>Non-depreciating operating asset held flat (no working-capital build modelled).</t>
        </is>
      </c>
    </row>
    <row r="106">
      <c r="B106" s="3" t="inlineStr">
        <is>
          <t>Total assets</t>
        </is>
      </c>
      <c r="C106" s="26">
        <f>C104+C105</f>
        <v/>
      </c>
      <c r="D106" s="26">
        <f>D104+D105</f>
        <v/>
      </c>
      <c r="E106" s="26">
        <f>E104+E105</f>
        <v/>
      </c>
      <c r="F106" s="26">
        <f>F104+F105</f>
        <v/>
      </c>
      <c r="G106" s="26">
        <f>G104+G105</f>
        <v/>
      </c>
      <c r="H106" s="26">
        <f>H104+H105</f>
        <v/>
      </c>
      <c r="I106" s="26">
        <f>I104+I105</f>
        <v/>
      </c>
      <c r="J106" s="26">
        <f>J104+J105</f>
        <v/>
      </c>
      <c r="K106" s="26">
        <f>K104+K105</f>
        <v/>
      </c>
      <c r="L106" s="26">
        <f>L104+L105</f>
        <v/>
      </c>
      <c r="M106" s="26">
        <f>M104+M105</f>
        <v/>
      </c>
      <c r="N106" s="10" t="inlineStr">
        <is>
          <t>$M</t>
        </is>
      </c>
      <c r="O106" s="10" t="inlineStr"/>
    </row>
    <row r="107">
      <c r="B107" s="7" t="inlineStr">
        <is>
          <t>Debt</t>
        </is>
      </c>
      <c r="C107" s="30">
        <f>'Model - NA'!C107+'Model - INTL'!C107+'Model - OTHER'!C107</f>
        <v/>
      </c>
      <c r="D107" s="30">
        <f>'Model - NA'!D107+'Model - INTL'!D107+'Model - OTHER'!D107</f>
        <v/>
      </c>
      <c r="E107" s="30">
        <f>'Model - NA'!E107+'Model - INTL'!E107+'Model - OTHER'!E107</f>
        <v/>
      </c>
      <c r="F107" s="30">
        <f>'Model - NA'!F107+'Model - INTL'!F107+'Model - OTHER'!F107</f>
        <v/>
      </c>
      <c r="G107" s="30">
        <f>'Model - NA'!G107+'Model - INTL'!G107+'Model - OTHER'!G107</f>
        <v/>
      </c>
      <c r="H107" s="30">
        <f>'Model - NA'!H107+'Model - INTL'!H107+'Model - OTHER'!H107</f>
        <v/>
      </c>
      <c r="I107" s="30">
        <f>'Model - NA'!I107+'Model - INTL'!I107+'Model - OTHER'!I107</f>
        <v/>
      </c>
      <c r="J107" s="30">
        <f>'Model - NA'!J107+'Model - INTL'!J107+'Model - OTHER'!J107</f>
        <v/>
      </c>
      <c r="K107" s="30">
        <f>'Model - NA'!K107+'Model - INTL'!K107+'Model - OTHER'!K107</f>
        <v/>
      </c>
      <c r="L107" s="30">
        <f>'Model - NA'!L107+'Model - INTL'!L107+'Model - OTHER'!L107</f>
        <v/>
      </c>
      <c r="M107" s="30">
        <f>'Model - NA'!M107+'Model - INTL'!M107+'Model - OTHER'!M107</f>
        <v/>
      </c>
      <c r="N107" s="10" t="inlineStr">
        <is>
          <t>$M</t>
        </is>
      </c>
      <c r="O107" s="10" t="inlineStr"/>
    </row>
    <row r="108">
      <c r="B108" s="7" t="inlineStr">
        <is>
          <t>Other liabilities, net (calibrated to reported equity)</t>
        </is>
      </c>
      <c r="C108" s="30">
        <f>'Model - NA'!C108+'Model - INTL'!C108+'Model - OTHER'!C108</f>
        <v/>
      </c>
      <c r="D108" s="30">
        <f>'Model - NA'!D108+'Model - INTL'!D108+'Model - OTHER'!D108</f>
        <v/>
      </c>
      <c r="E108" s="30">
        <f>'Model - NA'!E108+'Model - INTL'!E108+'Model - OTHER'!E108</f>
        <v/>
      </c>
      <c r="F108" s="30">
        <f>'Model - NA'!F108+'Model - INTL'!F108+'Model - OTHER'!F108</f>
        <v/>
      </c>
      <c r="G108" s="30">
        <f>'Model - NA'!G108+'Model - INTL'!G108+'Model - OTHER'!G108</f>
        <v/>
      </c>
      <c r="H108" s="30">
        <f>'Model - NA'!H108+'Model - INTL'!H108+'Model - OTHER'!H108</f>
        <v/>
      </c>
      <c r="I108" s="30">
        <f>'Model - NA'!I108+'Model - INTL'!I108+'Model - OTHER'!I108</f>
        <v/>
      </c>
      <c r="J108" s="30">
        <f>'Model - NA'!J108+'Model - INTL'!J108+'Model - OTHER'!J108</f>
        <v/>
      </c>
      <c r="K108" s="30">
        <f>'Model - NA'!K108+'Model - INTL'!K108+'Model - OTHER'!K108</f>
        <v/>
      </c>
      <c r="L108" s="30">
        <f>'Model - NA'!L108+'Model - INTL'!L108+'Model - OTHER'!L108</f>
        <v/>
      </c>
      <c r="M108" s="30">
        <f>'Model - NA'!M108+'Model - INTL'!M108+'Model - OTHER'!M108</f>
        <v/>
      </c>
      <c r="N108" s="10" t="inlineStr">
        <is>
          <t>$M</t>
        </is>
      </c>
      <c r="O108" s="10" t="inlineStr">
        <is>
          <t>Plug so that FY2026A simplified equity = reported shareholders' equity 1,966.2.</t>
        </is>
      </c>
    </row>
    <row r="109">
      <c r="B109" s="3" t="inlineStr">
        <is>
          <t>Total liabilities</t>
        </is>
      </c>
      <c r="C109" s="26">
        <f>C107+C108</f>
        <v/>
      </c>
      <c r="D109" s="26">
        <f>D107+D108</f>
        <v/>
      </c>
      <c r="E109" s="26">
        <f>E107+E108</f>
        <v/>
      </c>
      <c r="F109" s="26">
        <f>F107+F108</f>
        <v/>
      </c>
      <c r="G109" s="26">
        <f>G107+G108</f>
        <v/>
      </c>
      <c r="H109" s="26">
        <f>H107+H108</f>
        <v/>
      </c>
      <c r="I109" s="26">
        <f>I107+I108</f>
        <v/>
      </c>
      <c r="J109" s="26">
        <f>J107+J108</f>
        <v/>
      </c>
      <c r="K109" s="26">
        <f>K107+K108</f>
        <v/>
      </c>
      <c r="L109" s="26">
        <f>L107+L108</f>
        <v/>
      </c>
      <c r="M109" s="26">
        <f>M107+M108</f>
        <v/>
      </c>
      <c r="N109" s="10" t="inlineStr">
        <is>
          <t>$M</t>
        </is>
      </c>
      <c r="O109" s="10" t="inlineStr"/>
    </row>
    <row r="110">
      <c r="B110" s="3" t="inlineStr">
        <is>
          <t>SHAREHOLDERS' EQUITY</t>
        </is>
      </c>
      <c r="C110" s="26">
        <f>C106-C109</f>
        <v/>
      </c>
      <c r="D110" s="26">
        <f>D106-D109</f>
        <v/>
      </c>
      <c r="E110" s="26">
        <f>E106-E109</f>
        <v/>
      </c>
      <c r="F110" s="26">
        <f>F106-F109</f>
        <v/>
      </c>
      <c r="G110" s="26">
        <f>G106-G109</f>
        <v/>
      </c>
      <c r="H110" s="26">
        <f>H106-H109</f>
        <v/>
      </c>
      <c r="I110" s="26">
        <f>I106-I109</f>
        <v/>
      </c>
      <c r="J110" s="26">
        <f>J106-J109</f>
        <v/>
      </c>
      <c r="K110" s="26">
        <f>K106-K109</f>
        <v/>
      </c>
      <c r="L110" s="26">
        <f>L106-L109</f>
        <v/>
      </c>
      <c r="M110" s="26">
        <f>M106-M109</f>
        <v/>
      </c>
      <c r="N110" s="10" t="inlineStr">
        <is>
          <t>$M</t>
        </is>
      </c>
      <c r="O110" s="10" t="inlineStr">
        <is>
          <t>FY2026A total = 1,966.2 reported shareholders' equity.</t>
        </is>
      </c>
    </row>
    <row r="111">
      <c r="B111" s="7" t="inlineStr">
        <is>
          <t>Equity roll-forward check: Equity(t) - [Equity(t-1) + Net income(t) - Distributions(t)]  (= 0)</t>
        </is>
      </c>
      <c r="D111" s="21">
        <f>D110-(C110+D87-D91)</f>
        <v/>
      </c>
      <c r="E111" s="21">
        <f>E110-(D110+E87-E91)</f>
        <v/>
      </c>
      <c r="F111" s="21">
        <f>F110-(E110+F87-F91)</f>
        <v/>
      </c>
      <c r="G111" s="21">
        <f>G110-(F110+G87-G91)</f>
        <v/>
      </c>
      <c r="H111" s="21">
        <f>H110-(G110+H87-H91)</f>
        <v/>
      </c>
      <c r="I111" s="21">
        <f>I110-(H110+I87-I91)</f>
        <v/>
      </c>
      <c r="J111" s="21">
        <f>J110-(I110+J87-J91)</f>
        <v/>
      </c>
      <c r="K111" s="21">
        <f>K110-(J110+K87-K91)</f>
        <v/>
      </c>
      <c r="L111" s="21">
        <f>L110-(K110+L87-L91)</f>
        <v/>
      </c>
      <c r="M111" s="21">
        <f>M110-(L110+M87-M91)</f>
        <v/>
      </c>
      <c r="N111" s="10" t="inlineStr">
        <is>
          <t>$M</t>
        </is>
      </c>
      <c r="O111" s="10" t="inlineStr"/>
    </row>
    <row r="112">
      <c r="B112" s="7" t="inlineStr">
        <is>
          <t>Balance check: Total assets - Total liabilities - Equity  (= 0)</t>
        </is>
      </c>
      <c r="C112" s="21">
        <f>C106-C109-C110</f>
        <v/>
      </c>
      <c r="D112" s="21">
        <f>D106-D109-D110</f>
        <v/>
      </c>
      <c r="E112" s="21">
        <f>E106-E109-E110</f>
        <v/>
      </c>
      <c r="F112" s="21">
        <f>F106-F109-F110</f>
        <v/>
      </c>
      <c r="G112" s="21">
        <f>G106-G109-G110</f>
        <v/>
      </c>
      <c r="H112" s="21">
        <f>H106-H109-H110</f>
        <v/>
      </c>
      <c r="I112" s="21">
        <f>I106-I109-I110</f>
        <v/>
      </c>
      <c r="J112" s="21">
        <f>J106-J109-J110</f>
        <v/>
      </c>
      <c r="K112" s="21">
        <f>K106-K109-K110</f>
        <v/>
      </c>
      <c r="L112" s="21">
        <f>L106-L109-L110</f>
        <v/>
      </c>
      <c r="M112" s="21">
        <f>M106-M109-M110</f>
        <v/>
      </c>
      <c r="N112" s="10" t="inlineStr">
        <is>
          <t>$M</t>
        </is>
      </c>
      <c r="O112" s="10" t="inlineStr"/>
    </row>
    <row r="114">
      <c r="A114" s="12" t="inlineStr">
        <is>
          <t>KEY METRICS (total company level)</t>
        </is>
      </c>
      <c r="B114" s="13" t="n"/>
      <c r="C114" s="13" t="n"/>
      <c r="D114" s="13" t="n"/>
      <c r="E114" s="13" t="n"/>
      <c r="F114" s="13" t="n"/>
      <c r="G114" s="13" t="n"/>
      <c r="H114" s="13" t="n"/>
      <c r="I114" s="13" t="n"/>
      <c r="J114" s="13" t="n"/>
      <c r="K114" s="13" t="n"/>
      <c r="L114" s="13" t="n"/>
      <c r="M114" s="13" t="n"/>
      <c r="N114" s="13" t="n"/>
      <c r="O114" s="13" t="n"/>
    </row>
    <row r="115">
      <c r="B115" s="7" t="inlineStr">
        <is>
          <t>Diluted weighted average shares (millions)</t>
        </is>
      </c>
      <c r="C115" s="20" t="n">
        <v>41.6</v>
      </c>
      <c r="D115" s="20" t="n">
        <v>38.8</v>
      </c>
      <c r="E115" s="21">
        <f>D115</f>
        <v/>
      </c>
      <c r="F115" s="21">
        <f>E115</f>
        <v/>
      </c>
      <c r="G115" s="21">
        <f>F115</f>
        <v/>
      </c>
      <c r="H115" s="21">
        <f>G115</f>
        <v/>
      </c>
      <c r="I115" s="21">
        <f>H115</f>
        <v/>
      </c>
      <c r="J115" s="21">
        <f>I115</f>
        <v/>
      </c>
      <c r="K115" s="21">
        <f>J115</f>
        <v/>
      </c>
      <c r="L115" s="21">
        <f>K115</f>
        <v/>
      </c>
      <c r="M115" s="21">
        <f>L115</f>
        <v/>
      </c>
      <c r="N115" s="10" t="inlineStr">
        <is>
          <t>millions</t>
        </is>
      </c>
      <c r="O115" s="10" t="inlineStr">
        <is>
          <t>FY2026A implied (294.4 / $7.08); FY2027 per guidance (~38.8M); held flat thereafter (buybacks not modelled).</t>
        </is>
      </c>
    </row>
    <row r="116">
      <c r="B116" s="3" t="inlineStr">
        <is>
          <t>Diluted EPS (net income / diluted shares)</t>
        </is>
      </c>
      <c r="C116" s="33">
        <f>IF(C115=0,0,C87/C115)</f>
        <v/>
      </c>
      <c r="D116" s="33">
        <f>IF(D115=0,0,D87/D115)</f>
        <v/>
      </c>
      <c r="E116" s="33">
        <f>IF(E115=0,0,E87/E115)</f>
        <v/>
      </c>
      <c r="F116" s="33">
        <f>IF(F115=0,0,F87/F115)</f>
        <v/>
      </c>
      <c r="G116" s="33">
        <f>IF(G115=0,0,G87/G115)</f>
        <v/>
      </c>
      <c r="H116" s="33">
        <f>IF(H115=0,0,H87/H115)</f>
        <v/>
      </c>
      <c r="I116" s="33">
        <f>IF(I115=0,0,I87/I115)</f>
        <v/>
      </c>
      <c r="J116" s="33">
        <f>IF(J115=0,0,J87/J115)</f>
        <v/>
      </c>
      <c r="K116" s="33">
        <f>IF(K115=0,0,K87/K115)</f>
        <v/>
      </c>
      <c r="L116" s="33">
        <f>IF(L115=0,0,L87/L115)</f>
        <v/>
      </c>
      <c r="M116" s="33">
        <f>IF(M115=0,0,M87/M115)</f>
        <v/>
      </c>
      <c r="N116" s="10" t="inlineStr">
        <is>
          <t>$ per share</t>
        </is>
      </c>
      <c r="O116" s="10" t="inlineStr">
        <is>
          <t>FY2027 adjusted EPS guidance $10.45-12.15; consensus $10.76 (FY27), $12.27 (FY28).</t>
        </is>
      </c>
    </row>
    <row r="117">
      <c r="B117" s="7" t="inlineStr">
        <is>
          <t>Return on equity (net income / prior-year equity; Last Yr on year-end equity)</t>
        </is>
      </c>
      <c r="C117" s="19">
        <f>IF(C110=0,0,C87/C110)</f>
        <v/>
      </c>
      <c r="D117" s="19">
        <f>IF(C110=0,0,D87/C110)</f>
        <v/>
      </c>
      <c r="E117" s="19">
        <f>IF(D110=0,0,E87/D110)</f>
        <v/>
      </c>
      <c r="F117" s="19">
        <f>IF(E110=0,0,F87/E110)</f>
        <v/>
      </c>
      <c r="G117" s="19">
        <f>IF(F110=0,0,G87/F110)</f>
        <v/>
      </c>
      <c r="H117" s="19">
        <f>IF(G110=0,0,H87/G110)</f>
        <v/>
      </c>
      <c r="I117" s="19">
        <f>IF(H110=0,0,I87/H110)</f>
        <v/>
      </c>
      <c r="J117" s="19">
        <f>IF(I110=0,0,J87/I110)</f>
        <v/>
      </c>
      <c r="K117" s="19">
        <f>IF(J110=0,0,K87/J110)</f>
        <v/>
      </c>
      <c r="L117" s="19">
        <f>IF(K110=0,0,L87/K110)</f>
        <v/>
      </c>
      <c r="M117" s="19">
        <f>IF(L110=0,0,M87/L110)</f>
        <v/>
      </c>
      <c r="N117" s="10" t="inlineStr">
        <is>
          <t>%</t>
        </is>
      </c>
    </row>
    <row r="118">
      <c r="B118" s="7" t="inlineStr">
        <is>
          <t>Distributions / net income (payout ratio)</t>
        </is>
      </c>
      <c r="C118" s="19">
        <f>IF(C87=0,0,C91/C87)</f>
        <v/>
      </c>
      <c r="D118" s="19">
        <f>IF(D87=0,0,D91/D87)</f>
        <v/>
      </c>
      <c r="E118" s="19">
        <f>IF(E87=0,0,E91/E87)</f>
        <v/>
      </c>
      <c r="F118" s="19">
        <f>IF(F87=0,0,F91/F87)</f>
        <v/>
      </c>
      <c r="G118" s="19">
        <f>IF(G87=0,0,G91/G87)</f>
        <v/>
      </c>
      <c r="H118" s="19">
        <f>IF(H87=0,0,H91/H87)</f>
        <v/>
      </c>
      <c r="I118" s="19">
        <f>IF(I87=0,0,I91/I87)</f>
        <v/>
      </c>
      <c r="J118" s="19">
        <f>IF(J87=0,0,J91/J87)</f>
        <v/>
      </c>
      <c r="K118" s="19">
        <f>IF(K87=0,0,K91/K87)</f>
        <v/>
      </c>
      <c r="L118" s="19">
        <f>IF(L87=0,0,L91/L87)</f>
        <v/>
      </c>
      <c r="M118" s="19">
        <f>IF(M87=0,0,M91/M87)</f>
        <v/>
      </c>
      <c r="N118" s="10" t="inlineStr">
        <is>
          <t>%</t>
        </is>
      </c>
    </row>
    <row r="120">
      <c r="A120" s="12" t="inlineStr">
        <is>
          <t>ACTUAL MARKET VALUATION (reasonableness check vs. model baseline value)</t>
        </is>
      </c>
      <c r="B120" s="13" t="n"/>
      <c r="C120" s="13" t="n"/>
      <c r="D120" s="13" t="n"/>
      <c r="E120" s="13" t="n"/>
      <c r="F120" s="13" t="n"/>
      <c r="G120" s="13" t="n"/>
      <c r="H120" s="13" t="n"/>
      <c r="I120" s="13" t="n"/>
      <c r="J120" s="13" t="n"/>
      <c r="K120" s="13" t="n"/>
      <c r="L120" s="13" t="n"/>
      <c r="M120" s="13" t="n"/>
      <c r="N120" s="13" t="n"/>
      <c r="O120" s="13" t="n"/>
    </row>
    <row r="121">
      <c r="B121" s="7" t="inlineStr">
        <is>
          <t>Valuation date</t>
        </is>
      </c>
      <c r="C121" s="34" t="n">
        <v>46304</v>
      </c>
      <c r="N121" s="10" t="inlineStr">
        <is>
          <t>date</t>
        </is>
      </c>
      <c r="O121" s="10" t="inlineStr"/>
    </row>
    <row r="122">
      <c r="B122" s="7" t="inlineStr">
        <is>
          <t>SIG share price (NYSE close)</t>
        </is>
      </c>
      <c r="C122" s="35" t="n">
        <v>105.22</v>
      </c>
      <c r="N122" s="10" t="inlineStr">
        <is>
          <t>$ per share</t>
        </is>
      </c>
      <c r="O122" s="10" t="inlineStr">
        <is>
          <t>Yahoo Finance close, Oct 9, 2026 ($100.58 on Oct 2).</t>
        </is>
      </c>
    </row>
    <row r="123">
      <c r="B123" s="7" t="inlineStr">
        <is>
          <t>Common shares outstanding (estimate)</t>
        </is>
      </c>
      <c r="C123" s="20" t="n">
        <v>37.5</v>
      </c>
      <c r="N123" s="10" t="inlineStr">
        <is>
          <t>millions</t>
        </is>
      </c>
      <c r="O123" s="10" t="inlineStr">
        <is>
          <t>MarketBeat 38.3M / Google Finance 37.3M; Q2 FY27 diluted 39.3M before the $125M ASR.</t>
        </is>
      </c>
    </row>
    <row r="124">
      <c r="B124" s="3" t="inlineStr">
        <is>
          <t>Market capitalization</t>
        </is>
      </c>
      <c r="C124" s="26">
        <f>C122*C123</f>
        <v/>
      </c>
      <c r="N124" s="10" t="inlineStr">
        <is>
          <t>$M</t>
        </is>
      </c>
      <c r="O124" s="10" t="inlineStr"/>
    </row>
    <row r="125">
      <c r="B125" s="7" t="inlineStr">
        <is>
          <t>P/E on FY2027E model net income</t>
        </is>
      </c>
      <c r="C125" s="36">
        <f>IF(D87=0,0,C124/D87)</f>
        <v/>
      </c>
      <c r="N125" s="10" t="inlineStr">
        <is>
          <t>x</t>
        </is>
      </c>
      <c r="O125" s="10" t="inlineStr"/>
    </row>
    <row r="126">
      <c r="B126" s="3" t="inlineStr">
        <is>
          <t>Model baseline value / market cap - 1  ('under-valuation' if positive)</t>
        </is>
      </c>
      <c r="C126" s="37">
        <f>IF(C124=0,0,C98/C124-1)</f>
        <v/>
      </c>
      <c r="N126" s="10" t="inlineStr">
        <is>
          <t>%</t>
        </is>
      </c>
      <c r="O126" s="10" t="inlineStr">
        <is>
          <t>A gap inside +/-30% is treated as plausible for this exercise (Checks tab).</t>
        </is>
      </c>
    </row>
    <row r="127">
      <c r="B127" s="7" t="inlineStr">
        <is>
          <t>Model baseline value per share</t>
        </is>
      </c>
      <c r="C127" s="38">
        <f>IF(C123=0,0,C98/C123)</f>
        <v/>
      </c>
      <c r="N127" s="10" t="inlineStr">
        <is>
          <t>$ per share</t>
        </is>
      </c>
      <c r="O127" s="10" t="inlineStr"/>
    </row>
    <row r="128">
      <c r="B128" s="7" t="inlineStr">
        <is>
          <t>P/E on FY2026A reported net income</t>
        </is>
      </c>
      <c r="C128" s="36">
        <f>IF(C87=0,0,C124/C87)</f>
        <v/>
      </c>
      <c r="N128" s="10" t="inlineStr">
        <is>
          <t>x</t>
        </is>
      </c>
      <c r="O128" s="10" t="inlineStr"/>
    </row>
  </sheetData>
  <pageMargins left="0.75" right="0.75" top="1" bottom="1" header="0.5" footer="0.5"/>
  <pageSetup orientation="landscape" paperSize="1" fitToHeight="0" fitToWidth="1"/>
  <headerFooter>
    <oddHeader/>
    <oddFooter>&amp;C&amp;A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M29"/>
  <sheetViews>
    <sheetView workbookViewId="0">
      <selection activeCell="A1" sqref="A1"/>
    </sheetView>
  </sheetViews>
  <sheetFormatPr baseColWidth="8" defaultRowHeight="15"/>
  <cols>
    <col width="3" customWidth="1" min="1" max="1"/>
    <col width="5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c r="A1" s="1" t="inlineStr">
        <is>
          <t>Signet Jewelers - Baseline Company Value by Business Segment</t>
        </is>
      </c>
    </row>
    <row r="2">
      <c r="A2" s="10" t="inlineStr">
        <is>
          <t>$ millions. Values are links to the model tabs (green). Charts are native Excel charts linked to the cells below.</t>
        </is>
      </c>
    </row>
    <row r="4" ht="30" customHeight="1">
      <c r="B4" s="39" t="inlineStr">
        <is>
          <t>Business segment</t>
        </is>
      </c>
      <c r="C4" s="39" t="inlineStr">
        <is>
          <t>Baseline value ($M)</t>
        </is>
      </c>
      <c r="D4" s="39" t="inlineStr">
        <is>
          <t>% of total</t>
        </is>
      </c>
      <c r="E4" s="39" t="inlineStr">
        <is>
          <t>Discount rate</t>
        </is>
      </c>
      <c r="F4" s="39" t="inlineStr">
        <is>
          <t>FY2026A sales ($M)</t>
        </is>
      </c>
      <c r="G4" s="39" t="inlineStr">
        <is>
          <t>FY2027E net income ($M)</t>
        </is>
      </c>
    </row>
    <row r="5">
      <c r="B5" s="7" t="inlineStr">
        <is>
          <t>North America</t>
        </is>
      </c>
      <c r="C5" s="30">
        <f>'Model - NA'!C98</f>
        <v/>
      </c>
      <c r="D5" s="19">
        <f>IF($C$8=0,0,C5/$C$8)</f>
        <v/>
      </c>
      <c r="E5" s="40">
        <f>'Model - NA'!C94</f>
        <v/>
      </c>
      <c r="F5" s="30">
        <f>'Model - NA'!C70</f>
        <v/>
      </c>
      <c r="G5" s="30">
        <f>'Model - NA'!D87</f>
        <v/>
      </c>
    </row>
    <row r="6">
      <c r="B6" s="7" t="inlineStr">
        <is>
          <t>International</t>
        </is>
      </c>
      <c r="C6" s="30">
        <f>'Model - INTL'!C98</f>
        <v/>
      </c>
      <c r="D6" s="19">
        <f>IF($C$8=0,0,C6/$C$8)</f>
        <v/>
      </c>
      <c r="E6" s="40">
        <f>'Model - INTL'!C94</f>
        <v/>
      </c>
      <c r="F6" s="30">
        <f>'Model - INTL'!C70</f>
        <v/>
      </c>
      <c r="G6" s="30">
        <f>'Model - INTL'!D87</f>
        <v/>
      </c>
    </row>
    <row r="7">
      <c r="B7" s="7" t="inlineStr">
        <is>
          <t>Other / Corporate</t>
        </is>
      </c>
      <c r="C7" s="30">
        <f>'Model - OTHER'!C98</f>
        <v/>
      </c>
      <c r="D7" s="19">
        <f>IF($C$8=0,0,C7/$C$8)</f>
        <v/>
      </c>
      <c r="E7" s="40">
        <f>'Model - OTHER'!C94</f>
        <v/>
      </c>
      <c r="F7" s="30">
        <f>'Model - OTHER'!C70</f>
        <v/>
      </c>
      <c r="G7" s="30">
        <f>'Model - OTHER'!D87</f>
        <v/>
      </c>
    </row>
    <row r="8">
      <c r="B8" s="41" t="inlineStr">
        <is>
          <t>Total company (sum of segments)</t>
        </is>
      </c>
      <c r="C8" s="42">
        <f>SUM(C5:C7)</f>
        <v/>
      </c>
      <c r="D8" s="43">
        <f>SUM(D5:D7)</f>
        <v/>
      </c>
      <c r="E8" s="44" t="n"/>
      <c r="F8" s="42">
        <f>SUM(F5:F7)</f>
        <v/>
      </c>
      <c r="G8" s="42">
        <f>SUM(G5:G7)</f>
        <v/>
      </c>
    </row>
    <row r="9">
      <c r="B9" s="7" t="inlineStr">
        <is>
          <t>Market capitalization (Oct 9, 2026; $105.22 x 37.5M shares)</t>
        </is>
      </c>
      <c r="C9" s="30">
        <f>'Total Company'!C124</f>
        <v/>
      </c>
    </row>
    <row r="10">
      <c r="B10" s="7" t="inlineStr">
        <is>
          <t>Model value / market cap - 1</t>
        </is>
      </c>
      <c r="C10" s="40">
        <f>'Total Company'!C126</f>
        <v/>
      </c>
    </row>
    <row r="11">
      <c r="B11" s="7" t="inlineStr">
        <is>
          <t>Model value per share ($)</t>
        </is>
      </c>
      <c r="C11" s="45">
        <f>'Total Company'!C127</f>
        <v/>
      </c>
    </row>
    <row r="13">
      <c r="B13" s="3" t="inlineStr">
        <is>
          <t>Projected total company sales and net income by year ($M; links to Total Company tab)</t>
        </is>
      </c>
    </row>
    <row r="14">
      <c r="B14" s="11" t="inlineStr">
        <is>
          <t>Fiscal year</t>
        </is>
      </c>
      <c r="C14" s="15" t="inlineStr">
        <is>
          <t>FY2026A</t>
        </is>
      </c>
      <c r="D14" s="15" t="inlineStr">
        <is>
          <t>FY2027</t>
        </is>
      </c>
      <c r="E14" s="15" t="inlineStr">
        <is>
          <t>FY2028</t>
        </is>
      </c>
      <c r="F14" s="15" t="inlineStr">
        <is>
          <t>FY2029</t>
        </is>
      </c>
      <c r="G14" s="15" t="inlineStr">
        <is>
          <t>FY2030</t>
        </is>
      </c>
      <c r="H14" s="15" t="inlineStr">
        <is>
          <t>FY2031</t>
        </is>
      </c>
      <c r="I14" s="15" t="inlineStr">
        <is>
          <t>FY2032</t>
        </is>
      </c>
      <c r="J14" s="15" t="inlineStr">
        <is>
          <t>FY2033</t>
        </is>
      </c>
      <c r="K14" s="15" t="inlineStr">
        <is>
          <t>FY2034</t>
        </is>
      </c>
      <c r="L14" s="15" t="inlineStr">
        <is>
          <t>FY2035</t>
        </is>
      </c>
      <c r="M14" s="15" t="inlineStr">
        <is>
          <t>FY2036</t>
        </is>
      </c>
    </row>
    <row r="15">
      <c r="B15" s="7" t="inlineStr">
        <is>
          <t>Total sales</t>
        </is>
      </c>
      <c r="C15" s="30">
        <f>'Total Company'!C70</f>
        <v/>
      </c>
      <c r="D15" s="30">
        <f>'Total Company'!D70</f>
        <v/>
      </c>
      <c r="E15" s="30">
        <f>'Total Company'!E70</f>
        <v/>
      </c>
      <c r="F15" s="30">
        <f>'Total Company'!F70</f>
        <v/>
      </c>
      <c r="G15" s="30">
        <f>'Total Company'!G70</f>
        <v/>
      </c>
      <c r="H15" s="30">
        <f>'Total Company'!H70</f>
        <v/>
      </c>
      <c r="I15" s="30">
        <f>'Total Company'!I70</f>
        <v/>
      </c>
      <c r="J15" s="30">
        <f>'Total Company'!J70</f>
        <v/>
      </c>
      <c r="K15" s="30">
        <f>'Total Company'!K70</f>
        <v/>
      </c>
      <c r="L15" s="30">
        <f>'Total Company'!L70</f>
        <v/>
      </c>
      <c r="M15" s="30">
        <f>'Total Company'!M70</f>
        <v/>
      </c>
    </row>
    <row r="16">
      <c r="B16" s="7" t="inlineStr">
        <is>
          <t>Net income</t>
        </is>
      </c>
      <c r="C16" s="30">
        <f>'Total Company'!C87</f>
        <v/>
      </c>
      <c r="D16" s="30">
        <f>'Total Company'!D87</f>
        <v/>
      </c>
      <c r="E16" s="30">
        <f>'Total Company'!E87</f>
        <v/>
      </c>
      <c r="F16" s="30">
        <f>'Total Company'!F87</f>
        <v/>
      </c>
      <c r="G16" s="30">
        <f>'Total Company'!G87</f>
        <v/>
      </c>
      <c r="H16" s="30">
        <f>'Total Company'!H87</f>
        <v/>
      </c>
      <c r="I16" s="30">
        <f>'Total Company'!I87</f>
        <v/>
      </c>
      <c r="J16" s="30">
        <f>'Total Company'!J87</f>
        <v/>
      </c>
      <c r="K16" s="30">
        <f>'Total Company'!K87</f>
        <v/>
      </c>
      <c r="L16" s="30">
        <f>'Total Company'!L87</f>
        <v/>
      </c>
      <c r="M16" s="30">
        <f>'Total Company'!M87</f>
        <v/>
      </c>
    </row>
    <row r="17">
      <c r="B17" s="7" t="inlineStr">
        <is>
          <t>Operating income</t>
        </is>
      </c>
      <c r="C17" s="30">
        <f>'Total Company'!C80</f>
        <v/>
      </c>
      <c r="D17" s="30">
        <f>'Total Company'!D80</f>
        <v/>
      </c>
      <c r="E17" s="30">
        <f>'Total Company'!E80</f>
        <v/>
      </c>
      <c r="F17" s="30">
        <f>'Total Company'!F80</f>
        <v/>
      </c>
      <c r="G17" s="30">
        <f>'Total Company'!G80</f>
        <v/>
      </c>
      <c r="H17" s="30">
        <f>'Total Company'!H80</f>
        <v/>
      </c>
      <c r="I17" s="30">
        <f>'Total Company'!I80</f>
        <v/>
      </c>
      <c r="J17" s="30">
        <f>'Total Company'!J80</f>
        <v/>
      </c>
      <c r="K17" s="30">
        <f>'Total Company'!K80</f>
        <v/>
      </c>
      <c r="L17" s="30">
        <f>'Total Company'!L80</f>
        <v/>
      </c>
      <c r="M17" s="30">
        <f>'Total Company'!M80</f>
        <v/>
      </c>
    </row>
    <row r="21">
      <c r="B21" s="3" t="inlineStr">
        <is>
          <t>Sensitivity of total company baseline value (computed by re-running the model with build/build_model.py; pasted values)</t>
        </is>
      </c>
    </row>
    <row r="22">
      <c r="B22" s="39" t="inlineStr">
        <is>
          <t>Assumption shocked (all years, all segments unless stated)</t>
        </is>
      </c>
      <c r="C22" s="39" t="inlineStr">
        <is>
          <t>Value: -1pp / less ($M)</t>
        </is>
      </c>
      <c r="D22" s="39" t="inlineStr">
        <is>
          <t>Base ($M)</t>
        </is>
      </c>
      <c r="E22" s="39" t="inlineStr">
        <is>
          <t>Value: +1pp / more ($M)</t>
        </is>
      </c>
      <c r="F22" s="39" t="inlineStr">
        <is>
          <t>Change for +1pp ($M)</t>
        </is>
      </c>
      <c r="G22" s="39" t="inlineStr">
        <is>
          <t>Change for +1pp (%)</t>
        </is>
      </c>
    </row>
    <row r="23">
      <c r="B23" s="7" t="inlineStr">
        <is>
          <t>Revenue growth: same-store, e-commerce and other revenue growth +/-1pp</t>
        </is>
      </c>
      <c r="C23" s="20" t="n">
        <v>2985.6</v>
      </c>
      <c r="D23" s="20" t="n">
        <v>3296.5</v>
      </c>
      <c r="E23" s="20" t="n">
        <v>3624.6</v>
      </c>
      <c r="F23" s="21">
        <f>E23-D23</f>
        <v/>
      </c>
      <c r="G23" s="19">
        <f>IF(D23=0,0,E23/D23-1)</f>
        <v/>
      </c>
    </row>
    <row r="24">
      <c r="B24" s="7" t="inlineStr">
        <is>
          <t>Gross margin +/-1pp (cost of sales % -/+1pp)</t>
        </is>
      </c>
      <c r="C24" s="20" t="n">
        <v>2965.5</v>
      </c>
      <c r="D24" s="20" t="n">
        <v>3296.5</v>
      </c>
      <c r="E24" s="20" t="n">
        <v>3627.6</v>
      </c>
      <c r="F24" s="21">
        <f>E24-D24</f>
        <v/>
      </c>
      <c r="G24" s="19">
        <f>IF(D24=0,0,E24/D24-1)</f>
        <v/>
      </c>
    </row>
    <row r="25">
      <c r="B25" s="7" t="inlineStr">
        <is>
          <t>Discount rate (cost of equity) +/-1pp</t>
        </is>
      </c>
      <c r="C25" s="20" t="n">
        <v>3480.7</v>
      </c>
      <c r="D25" s="20" t="n">
        <v>3296.5</v>
      </c>
      <c r="E25" s="20" t="n">
        <v>3126.4</v>
      </c>
      <c r="F25" s="21">
        <f>E25-D25</f>
        <v/>
      </c>
      <c r="G25" s="19">
        <f>IF(D25=0,0,E25/D25-1)</f>
        <v/>
      </c>
    </row>
    <row r="26">
      <c r="B26" s="7" t="inlineStr">
        <is>
          <t>Variable SG&amp;A % of sales +/-1pp</t>
        </is>
      </c>
      <c r="C26" s="20" t="n">
        <v>3627.6</v>
      </c>
      <c r="D26" s="20" t="n">
        <v>3296.5</v>
      </c>
      <c r="E26" s="20" t="n">
        <v>2965.5</v>
      </c>
      <c r="F26" s="21">
        <f>E26-D26</f>
        <v/>
      </c>
      <c r="G26" s="19">
        <f>IF(D26=0,0,E26/D26-1)</f>
        <v/>
      </c>
    </row>
    <row r="27">
      <c r="B27" s="7" t="inlineStr">
        <is>
          <t>Fixed SG&amp;A inflation +/-1pp</t>
        </is>
      </c>
      <c r="C27" s="20" t="n">
        <v>3491.8</v>
      </c>
      <c r="D27" s="20" t="n">
        <v>3296.5</v>
      </c>
      <c r="E27" s="20" t="n">
        <v>3090.5</v>
      </c>
      <c r="F27" s="21">
        <f>E27-D27</f>
        <v/>
      </c>
      <c r="G27" s="19">
        <f>IF(D27=0,0,E27/D27-1)</f>
        <v/>
      </c>
    </row>
    <row r="28">
      <c r="B28" s="7" t="inlineStr">
        <is>
          <t>Effective tax rate +/-1pp</t>
        </is>
      </c>
      <c r="C28" s="20" t="n">
        <v>3330.5</v>
      </c>
      <c r="D28" s="20" t="n">
        <v>3296.5</v>
      </c>
      <c r="E28" s="20" t="n">
        <v>3262.6</v>
      </c>
      <c r="F28" s="21">
        <f>E28-D28</f>
        <v/>
      </c>
      <c r="G28" s="19">
        <f>IF(D28=0,0,E28/D28-1)</f>
        <v/>
      </c>
    </row>
    <row r="29">
      <c r="B29" s="7" t="inlineStr">
        <is>
          <t>NA store closures +/-10 per year</t>
        </is>
      </c>
      <c r="C29" s="20" t="n">
        <v>3387.6</v>
      </c>
      <c r="D29" s="20" t="n">
        <v>3296.5</v>
      </c>
      <c r="E29" s="20" t="n">
        <v>3205.5</v>
      </c>
      <c r="F29" s="21">
        <f>E29-D29</f>
        <v/>
      </c>
      <c r="G29" s="19">
        <f>IF(D29=0,0,E29/D29-1)</f>
        <v/>
      </c>
    </row>
  </sheetData>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E39"/>
  <sheetViews>
    <sheetView workbookViewId="0">
      <pane ySplit="4" topLeftCell="A5" activePane="bottomLeft" state="frozen"/>
      <selection pane="bottomLeft" activeCell="A1" sqref="A1"/>
    </sheetView>
  </sheetViews>
  <sheetFormatPr baseColWidth="8" defaultRowHeight="15"/>
  <cols>
    <col width="5" customWidth="1" min="1" max="1"/>
    <col width="100" customWidth="1" min="2" max="2"/>
    <col width="12" customWidth="1" min="3" max="3"/>
    <col width="18" customWidth="1" min="4" max="4"/>
    <col width="22" customWidth="1" min="5" max="5"/>
  </cols>
  <sheetData>
    <row r="1">
      <c r="A1" s="1" t="inlineStr">
        <is>
          <t>Model integrity checks (formula-driven; every row must be TRUE)</t>
        </is>
      </c>
    </row>
    <row r="2">
      <c r="A2" s="10" t="inlineStr">
        <is>
          <t>Tolerances: $0.05M for ties to reported figures, $0.001M for internal identities.</t>
        </is>
      </c>
    </row>
    <row r="4">
      <c r="A4" s="11" t="inlineStr">
        <is>
          <t>#</t>
        </is>
      </c>
      <c r="B4" s="11" t="inlineStr">
        <is>
          <t>Check</t>
        </is>
      </c>
      <c r="C4" s="11" t="inlineStr">
        <is>
          <t>Result</t>
        </is>
      </c>
      <c r="D4" s="11" t="inlineStr">
        <is>
          <t>Measured value</t>
        </is>
      </c>
      <c r="E4" s="11" t="inlineStr">
        <is>
          <t>Tolerance / target</t>
        </is>
      </c>
    </row>
    <row r="5">
      <c r="A5" s="7" t="n">
        <v>1</v>
      </c>
      <c r="B5" s="7" t="inlineStr">
        <is>
          <t>Total Company sales = NA + INTL + OTHER in every year (FY2026A-FY2036)</t>
        </is>
      </c>
      <c r="C5" s="46">
        <f>SUMPRODUCT(ABS('Total Company'!C70:M70-'Model - NA'!C70:M70-'Model - INTL'!C70:M70-'Model - OTHER'!C70:M70))&lt;0.001</f>
        <v/>
      </c>
      <c r="D5" s="25">
        <f>SUMPRODUCT(ABS('Total Company'!C70:M70-'Model - NA'!C70:M70-'Model - INTL'!C70:M70-'Model - OTHER'!C70:M70))</f>
        <v/>
      </c>
      <c r="E5" s="10" t="inlineStr">
        <is>
          <t>&lt; 0.001</t>
        </is>
      </c>
    </row>
    <row r="6">
      <c r="A6" s="7" t="n">
        <v>2</v>
      </c>
      <c r="B6" s="7" t="inlineStr">
        <is>
          <t>Total Company operating income = NA + INTL + OTHER in every year (FY2026A-FY2036)</t>
        </is>
      </c>
      <c r="C6" s="46">
        <f>SUMPRODUCT(ABS('Total Company'!C80:M80-'Model - NA'!C80:M80-'Model - INTL'!C80:M80-'Model - OTHER'!C80:M80))&lt;0.001</f>
        <v/>
      </c>
      <c r="D6" s="25">
        <f>SUMPRODUCT(ABS('Total Company'!C80:M80-'Model - NA'!C80:M80-'Model - INTL'!C80:M80-'Model - OTHER'!C80:M80))</f>
        <v/>
      </c>
      <c r="E6" s="10" t="inlineStr">
        <is>
          <t>&lt; 0.001</t>
        </is>
      </c>
    </row>
    <row r="7">
      <c r="A7" s="7" t="n">
        <v>3</v>
      </c>
      <c r="B7" s="7" t="inlineStr">
        <is>
          <t>Total Company net income = NA + INTL + OTHER in every year (FY2026A-FY2036)</t>
        </is>
      </c>
      <c r="C7" s="46">
        <f>SUMPRODUCT(ABS('Total Company'!C87:M87-'Model - NA'!C87:M87-'Model - INTL'!C87:M87-'Model - OTHER'!C87:M87))&lt;0.001</f>
        <v/>
      </c>
      <c r="D7" s="25">
        <f>SUMPRODUCT(ABS('Total Company'!C87:M87-'Model - NA'!C87:M87-'Model - INTL'!C87:M87-'Model - OTHER'!C87:M87))</f>
        <v/>
      </c>
      <c r="E7" s="10" t="inlineStr">
        <is>
          <t>&lt; 0.001</t>
        </is>
      </c>
    </row>
    <row r="8">
      <c r="A8" s="7" t="n">
        <v>4</v>
      </c>
      <c r="B8" s="7" t="inlineStr">
        <is>
          <t>Total Company shareholders' equity = NA + INTL + OTHER in every year (FY2026A-FY2036)</t>
        </is>
      </c>
      <c r="C8" s="46">
        <f>SUMPRODUCT(ABS('Total Company'!C110:M110-'Model - NA'!C110:M110-'Model - INTL'!C110:M110-'Model - OTHER'!C110:M110))&lt;0.001</f>
        <v/>
      </c>
      <c r="D8" s="25">
        <f>SUMPRODUCT(ABS('Total Company'!C110:M110-'Model - NA'!C110:M110-'Model - INTL'!C110:M110-'Model - OTHER'!C110:M110))</f>
        <v/>
      </c>
      <c r="E8" s="10" t="inlineStr">
        <is>
          <t>&lt; 0.001</t>
        </is>
      </c>
    </row>
    <row r="9">
      <c r="A9" s="7" t="n">
        <v>5</v>
      </c>
      <c r="B9" s="7" t="inlineStr">
        <is>
          <t>Total Company cash = NA + INTL + OTHER in every year (FY2026A-FY2036)</t>
        </is>
      </c>
      <c r="C9" s="46">
        <f>SUMPRODUCT(ABS('Total Company'!C104:M104-'Model - NA'!C104:M104-'Model - INTL'!C104:M104-'Model - OTHER'!C104:M104))&lt;0.001</f>
        <v/>
      </c>
      <c r="D9" s="25">
        <f>SUMPRODUCT(ABS('Total Company'!C104:M104-'Model - NA'!C104:M104-'Model - INTL'!C104:M104-'Model - OTHER'!C104:M104))</f>
        <v/>
      </c>
      <c r="E9" s="10" t="inlineStr">
        <is>
          <t>&lt; 0.001</t>
        </is>
      </c>
    </row>
    <row r="10">
      <c r="A10" s="7" t="n">
        <v>6</v>
      </c>
      <c r="B10" s="7" t="inlineStr">
        <is>
          <t>FY2026A consolidated sales reproduces reported 6,813.6</t>
        </is>
      </c>
      <c r="C10" s="46">
        <f>ABS('Total Company'!C70-6813.6)&lt;0.05</f>
        <v/>
      </c>
      <c r="D10" s="25">
        <f>'Total Company'!C70</f>
        <v/>
      </c>
      <c r="E10" s="10" t="inlineStr">
        <is>
          <t>6,813.6 +/- 0.05</t>
        </is>
      </c>
    </row>
    <row r="11">
      <c r="A11" s="7" t="n">
        <v>7</v>
      </c>
      <c r="B11" s="7" t="inlineStr">
        <is>
          <t>FY2026A consolidated operating income reproduces reported 393.1</t>
        </is>
      </c>
      <c r="C11" s="46">
        <f>ABS('Total Company'!C80-393.1)&lt;0.05</f>
        <v/>
      </c>
      <c r="D11" s="25">
        <f>'Total Company'!C80</f>
        <v/>
      </c>
      <c r="E11" s="10" t="inlineStr">
        <is>
          <t>393.1 +/- 0.05</t>
        </is>
      </c>
    </row>
    <row r="12">
      <c r="A12" s="7" t="n">
        <v>8</v>
      </c>
      <c r="B12" s="7" t="inlineStr">
        <is>
          <t>FY2026A consolidated net income reproduces reported 294.4</t>
        </is>
      </c>
      <c r="C12" s="46">
        <f>ABS('Total Company'!C87-294.4)&lt;0.05</f>
        <v/>
      </c>
      <c r="D12" s="25">
        <f>'Total Company'!C87</f>
        <v/>
      </c>
      <c r="E12" s="10" t="inlineStr">
        <is>
          <t>294.4 +/- 0.05</t>
        </is>
      </c>
    </row>
    <row r="13">
      <c r="A13" s="7" t="n">
        <v>9</v>
      </c>
      <c r="B13" s="7" t="inlineStr">
        <is>
          <t>FY2026A shareholders' equity reproduces reported 1,966.2</t>
        </is>
      </c>
      <c r="C13" s="46">
        <f>ABS('Total Company'!C110-1966.2)&lt;0.05</f>
        <v/>
      </c>
      <c r="D13" s="25">
        <f>'Total Company'!C110</f>
        <v/>
      </c>
      <c r="E13" s="10" t="inlineStr">
        <is>
          <t>1,966.2 +/- 0.05</t>
        </is>
      </c>
    </row>
    <row r="14">
      <c r="A14" s="7" t="n">
        <v>10</v>
      </c>
      <c r="B14" s="7" t="inlineStr">
        <is>
          <t>FY2026A North America sales = reported 6,363.6</t>
        </is>
      </c>
      <c r="C14" s="46">
        <f>ABS('Model - NA'!C70-6363.6)&lt;0.05</f>
        <v/>
      </c>
      <c r="D14" s="25">
        <f>'Model - NA'!C70</f>
        <v/>
      </c>
      <c r="E14" s="10" t="inlineStr">
        <is>
          <t>6,363.6</t>
        </is>
      </c>
    </row>
    <row r="15">
      <c r="A15" s="7" t="n">
        <v>11</v>
      </c>
      <c r="B15" s="7" t="inlineStr">
        <is>
          <t>FY2026A North America operating income = reported 452.6</t>
        </is>
      </c>
      <c r="C15" s="46">
        <f>ABS('Model - NA'!C80-452.6)&lt;0.05</f>
        <v/>
      </c>
      <c r="D15" s="25">
        <f>'Model - NA'!C80</f>
        <v/>
      </c>
      <c r="E15" s="10" t="inlineStr">
        <is>
          <t>452.6</t>
        </is>
      </c>
    </row>
    <row r="16">
      <c r="A16" s="7" t="n">
        <v>12</v>
      </c>
      <c r="B16" s="7" t="inlineStr">
        <is>
          <t>FY2026A International sales = reported 410.4</t>
        </is>
      </c>
      <c r="C16" s="46">
        <f>ABS('Model - INTL'!C70-410.4)&lt;0.05</f>
        <v/>
      </c>
      <c r="D16" s="25">
        <f>'Model - INTL'!C70</f>
        <v/>
      </c>
      <c r="E16" s="10" t="inlineStr">
        <is>
          <t>410.4</t>
        </is>
      </c>
    </row>
    <row r="17">
      <c r="A17" s="7" t="n">
        <v>13</v>
      </c>
      <c r="B17" s="7" t="inlineStr">
        <is>
          <t>FY2026A International operating income = reported 16.3</t>
        </is>
      </c>
      <c r="C17" s="46">
        <f>ABS('Model - INTL'!C80-16.3)&lt;0.05</f>
        <v/>
      </c>
      <c r="D17" s="25">
        <f>'Model - INTL'!C80</f>
        <v/>
      </c>
      <c r="E17" s="10" t="inlineStr">
        <is>
          <t>16.3</t>
        </is>
      </c>
    </row>
    <row r="18">
      <c r="A18" s="7" t="n">
        <v>14</v>
      </c>
      <c r="B18" s="7" t="inlineStr">
        <is>
          <t>FY2026A Other / Corporate sales = reported 39.6</t>
        </is>
      </c>
      <c r="C18" s="46">
        <f>ABS('Model - OTHER'!C70-39.6)&lt;0.05</f>
        <v/>
      </c>
      <c r="D18" s="25">
        <f>'Model - OTHER'!C70</f>
        <v/>
      </c>
      <c r="E18" s="10" t="inlineStr">
        <is>
          <t>39.6</t>
        </is>
      </c>
    </row>
    <row r="19">
      <c r="A19" s="7" t="n">
        <v>15</v>
      </c>
      <c r="B19" s="7" t="inlineStr">
        <is>
          <t>FY2026A Other / Corporate operating income = reported -75.8</t>
        </is>
      </c>
      <c r="C19" s="46">
        <f>ABS('Model - OTHER'!C80--75.8)&lt;0.05</f>
        <v/>
      </c>
      <c r="D19" s="25">
        <f>'Model - OTHER'!C80</f>
        <v/>
      </c>
      <c r="E19" s="10" t="inlineStr">
        <is>
          <t>-75.8</t>
        </is>
      </c>
    </row>
    <row r="20">
      <c r="A20" s="7" t="n">
        <v>16</v>
      </c>
      <c r="B20" s="7" t="inlineStr">
        <is>
          <t>Balance sheet balances (assets = liabilities + equity) every year in every tab</t>
        </is>
      </c>
      <c r="C20" s="46">
        <f>SUMPRODUCT(ABS('Model - NA'!C112:M112))+SUMPRODUCT(ABS('Model - INTL'!C112:M112))+SUMPRODUCT(ABS('Model - OTHER'!C112:M112))+SUMPRODUCT(ABS('Total Company'!C112:M112))&lt;0.001</f>
        <v/>
      </c>
      <c r="D20" s="25">
        <f>SUMPRODUCT(ABS('Model - NA'!C112:M112))+SUMPRODUCT(ABS('Model - INTL'!C112:M112))+SUMPRODUCT(ABS('Model - OTHER'!C112:M112))+SUMPRODUCT(ABS('Total Company'!C112:M112))</f>
        <v/>
      </c>
      <c r="E20" s="10" t="inlineStr">
        <is>
          <t>&lt; 0.001</t>
        </is>
      </c>
    </row>
    <row r="21">
      <c r="A21" s="7" t="n">
        <v>17</v>
      </c>
      <c r="B21" s="7" t="inlineStr">
        <is>
          <t>Equity roll-forward Equity(t) = Equity(t-1) + NI(t) - Distributions(t) holds every year in every tab</t>
        </is>
      </c>
      <c r="C21" s="46">
        <f>SUMPRODUCT(ABS('Model - NA'!D111:M111))+SUMPRODUCT(ABS('Model - INTL'!D111:M111))+SUMPRODUCT(ABS('Model - OTHER'!D111:M111))+SUMPRODUCT(ABS('Total Company'!D111:M111))&lt;0.001</f>
        <v/>
      </c>
      <c r="D21" s="25">
        <f>SUMPRODUCT(ABS('Model - NA'!D111:M111))+SUMPRODUCT(ABS('Model - INTL'!D111:M111))+SUMPRODUCT(ABS('Model - OTHER'!D111:M111))+SUMPRODUCT(ABS('Total Company'!D111:M111))</f>
        <v/>
      </c>
      <c r="E21" s="10" t="inlineStr">
        <is>
          <t>&lt; 0.001</t>
        </is>
      </c>
    </row>
    <row r="22">
      <c r="A22" s="7" t="n">
        <v>18</v>
      </c>
      <c r="B22" s="7" t="inlineStr">
        <is>
          <t>North America: scenario assumptions = baseline + shock for every cell</t>
        </is>
      </c>
      <c r="C22" s="46">
        <f>SUMPRODUCT(ABS('Model - NA'!D40:M54-'Model - NA'!D6:M20-'Model - NA'!D23:M37))&lt;0.0000001</f>
        <v/>
      </c>
      <c r="D22" s="25">
        <f>SUMPRODUCT(ABS('Model - NA'!D40:M54-'Model - NA'!D6:M20-'Model - NA'!D23:M37))</f>
        <v/>
      </c>
      <c r="E22" s="10" t="inlineStr">
        <is>
          <t>&lt; 1e-7</t>
        </is>
      </c>
    </row>
    <row r="23">
      <c r="A23" s="7" t="n">
        <v>19</v>
      </c>
      <c r="B23" s="7" t="inlineStr">
        <is>
          <t>North America: all shock cells are zero (baseline run)</t>
        </is>
      </c>
      <c r="C23" s="46">
        <f>SUMPRODUCT(ABS('Model - NA'!D23:M37))=0</f>
        <v/>
      </c>
      <c r="D23" s="25">
        <f>SUMPRODUCT(ABS('Model - NA'!D23:M37))</f>
        <v/>
      </c>
      <c r="E23" s="10" t="inlineStr">
        <is>
          <t>0</t>
        </is>
      </c>
    </row>
    <row r="24">
      <c r="A24" s="7" t="n">
        <v>20</v>
      </c>
      <c r="B24" s="7" t="inlineStr">
        <is>
          <t>International: scenario assumptions = baseline + shock for every cell</t>
        </is>
      </c>
      <c r="C24" s="46">
        <f>SUMPRODUCT(ABS('Model - INTL'!D40:M54-'Model - INTL'!D6:M20-'Model - INTL'!D23:M37))&lt;0.0000001</f>
        <v/>
      </c>
      <c r="D24" s="25">
        <f>SUMPRODUCT(ABS('Model - INTL'!D40:M54-'Model - INTL'!D6:M20-'Model - INTL'!D23:M37))</f>
        <v/>
      </c>
      <c r="E24" s="10" t="inlineStr">
        <is>
          <t>&lt; 1e-7</t>
        </is>
      </c>
    </row>
    <row r="25">
      <c r="A25" s="7" t="n">
        <v>21</v>
      </c>
      <c r="B25" s="7" t="inlineStr">
        <is>
          <t>International: all shock cells are zero (baseline run)</t>
        </is>
      </c>
      <c r="C25" s="46">
        <f>SUMPRODUCT(ABS('Model - INTL'!D23:M37))=0</f>
        <v/>
      </c>
      <c r="D25" s="25">
        <f>SUMPRODUCT(ABS('Model - INTL'!D23:M37))</f>
        <v/>
      </c>
      <c r="E25" s="10" t="inlineStr">
        <is>
          <t>0</t>
        </is>
      </c>
    </row>
    <row r="26">
      <c r="A26" s="7" t="n">
        <v>22</v>
      </c>
      <c r="B26" s="7" t="inlineStr">
        <is>
          <t>Other / Corporate: scenario assumptions = baseline + shock for every cell</t>
        </is>
      </c>
      <c r="C26" s="46">
        <f>SUMPRODUCT(ABS('Model - OTHER'!D40:M54-'Model - OTHER'!D6:M20-'Model - OTHER'!D23:M37))&lt;0.0000001</f>
        <v/>
      </c>
      <c r="D26" s="25">
        <f>SUMPRODUCT(ABS('Model - OTHER'!D40:M54-'Model - OTHER'!D6:M20-'Model - OTHER'!D23:M37))</f>
        <v/>
      </c>
      <c r="E26" s="10" t="inlineStr">
        <is>
          <t>&lt; 1e-7</t>
        </is>
      </c>
    </row>
    <row r="27">
      <c r="A27" s="7" t="n">
        <v>23</v>
      </c>
      <c r="B27" s="7" t="inlineStr">
        <is>
          <t>Other / Corporate: all shock cells are zero (baseline run)</t>
        </is>
      </c>
      <c r="C27" s="46">
        <f>SUMPRODUCT(ABS('Model - OTHER'!D23:M37))=0</f>
        <v/>
      </c>
      <c r="D27" s="25">
        <f>SUMPRODUCT(ABS('Model - OTHER'!D23:M37))</f>
        <v/>
      </c>
      <c r="E27" s="10" t="inlineStr">
        <is>
          <t>0</t>
        </is>
      </c>
    </row>
    <row r="28">
      <c r="A28" s="7" t="n">
        <v>24</v>
      </c>
      <c r="B28" s="7" t="inlineStr">
        <is>
          <t>North America: baseline snapshot value = live scenario-run value</t>
        </is>
      </c>
      <c r="C28" s="46">
        <f>ABS('Model - NA'!C98-'Model - NA'!C99)&lt;0.05</f>
        <v/>
      </c>
      <c r="D28" s="25">
        <f>ABS('Model - NA'!C98-'Model - NA'!C99)</f>
        <v/>
      </c>
      <c r="E28" s="10" t="inlineStr">
        <is>
          <t>&lt; 0.05</t>
        </is>
      </c>
    </row>
    <row r="29">
      <c r="A29" s="7" t="n">
        <v>25</v>
      </c>
      <c r="B29" s="7" t="inlineStr">
        <is>
          <t>International: baseline snapshot value = live scenario-run value</t>
        </is>
      </c>
      <c r="C29" s="46">
        <f>ABS('Model - INTL'!C98-'Model - INTL'!C99)&lt;0.05</f>
        <v/>
      </c>
      <c r="D29" s="25">
        <f>ABS('Model - INTL'!C98-'Model - INTL'!C99)</f>
        <v/>
      </c>
      <c r="E29" s="10" t="inlineStr">
        <is>
          <t>&lt; 0.05</t>
        </is>
      </c>
    </row>
    <row r="30">
      <c r="A30" s="7" t="n">
        <v>26</v>
      </c>
      <c r="B30" s="7" t="inlineStr">
        <is>
          <t>Other / Corporate: baseline snapshot value = live scenario-run value</t>
        </is>
      </c>
      <c r="C30" s="46">
        <f>ABS('Model - OTHER'!C98-'Model - OTHER'!C99)&lt;0.05</f>
        <v/>
      </c>
      <c r="D30" s="25">
        <f>ABS('Model - OTHER'!C98-'Model - OTHER'!C99)</f>
        <v/>
      </c>
      <c r="E30" s="10" t="inlineStr">
        <is>
          <t>&lt; 0.05</t>
        </is>
      </c>
    </row>
    <row r="31">
      <c r="A31" s="7" t="n">
        <v>27</v>
      </c>
      <c r="B31" s="7" t="inlineStr">
        <is>
          <t>Company baseline value = sum of the three segment values</t>
        </is>
      </c>
      <c r="C31" s="46">
        <f>ABS('Total Company'!C98-('Model - NA'!C98+'Model - INTL'!C98+'Model - OTHER'!C98))&lt;0.001</f>
        <v/>
      </c>
      <c r="D31" s="25">
        <f>ABS('Total Company'!C98-('Model - NA'!C98+'Model - INTL'!C98+'Model - OTHER'!C98))</f>
        <v/>
      </c>
      <c r="E31" s="10" t="inlineStr">
        <is>
          <t>&lt; 0.001</t>
        </is>
      </c>
    </row>
    <row r="32">
      <c r="A32" s="7" t="n">
        <v>28</v>
      </c>
      <c r="B32" s="7" t="inlineStr">
        <is>
          <t>No #REF!, #DIV/0!, #VALUE!, #N/A or #NAME? anywhere in the model, summary and assumptions tabs (Cover excluded to avoid a circular reference with its status cell)</t>
        </is>
      </c>
      <c r="C32" s="46">
        <f>SUMPRODUCT(ISERROR('Model - NA'!A1:O133)*1)+SUMPRODUCT(ISERROR('Model - INTL'!A1:O133)*1)+SUMPRODUCT(ISERROR('Model - OTHER'!A1:O133)*1)+SUMPRODUCT(ISERROR('Total Company'!A1:O133)*1)+SUMPRODUCT(ISERROR('Summary &amp; Chart'!A1:O133)*1)+SUMPRODUCT(ISERROR('Assumptions &amp; Sources'!A1:O133)*1)+SUMPRODUCT(ISERROR('Appx A - Summary'!A1:O133)*1)=0</f>
        <v/>
      </c>
      <c r="D32" s="25">
        <f>SUMPRODUCT(ISERROR('Model - NA'!A1:O133)*1)+SUMPRODUCT(ISERROR('Model - INTL'!A1:O133)*1)+SUMPRODUCT(ISERROR('Model - OTHER'!A1:O133)*1)+SUMPRODUCT(ISERROR('Total Company'!A1:O133)*1)+SUMPRODUCT(ISERROR('Summary &amp; Chart'!A1:O133)*1)+SUMPRODUCT(ISERROR('Assumptions &amp; Sources'!A1:O133)*1)+SUMPRODUCT(ISERROR('Appx A - Summary'!A1:O133)*1)</f>
        <v/>
      </c>
      <c r="E32" s="10" t="inlineStr">
        <is>
          <t>0 error cells</t>
        </is>
      </c>
    </row>
    <row r="33">
      <c r="A33" s="7" t="n">
        <v>29</v>
      </c>
      <c r="B33" s="7" t="inlineStr">
        <is>
          <t>FY2027E total sales inside management guidance $6,700-6,900M</t>
        </is>
      </c>
      <c r="C33" s="46">
        <f>AND('Total Company'!D70&gt;=6700.0,'Total Company'!D70&lt;=6900.0)</f>
        <v/>
      </c>
      <c r="D33" s="25">
        <f>'Total Company'!D70</f>
        <v/>
      </c>
      <c r="E33" s="10" t="inlineStr">
        <is>
          <t>6,700 - 6,900</t>
        </is>
      </c>
    </row>
    <row r="34">
      <c r="A34" s="7" t="n">
        <v>30</v>
      </c>
      <c r="B34" s="7" t="inlineStr">
        <is>
          <t>FY2027E operating income inside adjusted operating income guidance $535-605M</t>
        </is>
      </c>
      <c r="C34" s="46">
        <f>AND('Total Company'!D80&gt;=535.0,'Total Company'!D80&lt;=605.0)</f>
        <v/>
      </c>
      <c r="D34" s="25">
        <f>'Total Company'!D80</f>
        <v/>
      </c>
      <c r="E34" s="10" t="inlineStr">
        <is>
          <t>535 - 605</t>
        </is>
      </c>
    </row>
    <row r="35">
      <c r="A35" s="7" t="n">
        <v>31</v>
      </c>
      <c r="B35" s="7" t="inlineStr">
        <is>
          <t>FY2027E diluted EPS inside adjusted EPS guidance $10.45-12.15</t>
        </is>
      </c>
      <c r="C35" s="46">
        <f>AND('Total Company'!D116&gt;=10.45,'Total Company'!D116&lt;=12.15)</f>
        <v/>
      </c>
      <c r="D35" s="25">
        <f>'Total Company'!D116</f>
        <v/>
      </c>
      <c r="E35" s="10" t="inlineStr">
        <is>
          <t>10.45 - 12.15</t>
        </is>
      </c>
    </row>
    <row r="36">
      <c r="A36" s="7" t="n">
        <v>32</v>
      </c>
      <c r="B36" s="7" t="inlineStr">
        <is>
          <t>Model company value within +/-30% of market capitalization</t>
        </is>
      </c>
      <c r="C36" s="46">
        <f>ABS('Total Company'!C126)&lt;=0.3</f>
        <v/>
      </c>
      <c r="D36" s="25">
        <f>'Total Company'!C126</f>
        <v/>
      </c>
      <c r="E36" s="10" t="inlineStr">
        <is>
          <t>|gap| &lt;= 30%</t>
        </is>
      </c>
    </row>
    <row r="38">
      <c r="B38" s="3" t="inlineStr">
        <is>
          <t>ALL CHECKS PASS?</t>
        </is>
      </c>
      <c r="C38" s="47">
        <f>AND(C5:C36)</f>
        <v/>
      </c>
    </row>
    <row r="39">
      <c r="B39" s="10" t="inlineStr">
        <is>
          <t>Structural check performed by build/build_model.py (not a formula): no projection formula references the baseline block directly.</t>
        </is>
      </c>
    </row>
  </sheetData>
  <conditionalFormatting sqref="C5:C36">
    <cfRule type="cellIs" priority="1" operator="equal" dxfId="0">
      <formula>TRUE</formula>
    </cfRule>
    <cfRule type="cellIs" priority="2" operator="equal" dxfId="1">
      <formula>FALSE</formula>
    </cfRule>
  </conditionalFormatting>
  <conditionalFormatting sqref="C38">
    <cfRule type="cellIs" priority="3" operator="equal" dxfId="0">
      <formula>TRUE</formula>
    </cfRule>
    <cfRule type="cellIs" priority="4" operator="equal" dxfId="1">
      <formula>FALSE</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H50"/>
  <sheetViews>
    <sheetView workbookViewId="0">
      <selection activeCell="A1" sqref="A1"/>
    </sheetView>
  </sheetViews>
  <sheetFormatPr baseColWidth="8" defaultRowHeight="15"/>
  <cols>
    <col width="3" customWidth="1" min="1" max="1"/>
    <col width="36" customWidth="1" min="2" max="2"/>
    <col width="18" customWidth="1" min="3" max="3"/>
    <col width="18" customWidth="1" min="4" max="4"/>
    <col width="18" customWidth="1" min="5" max="5"/>
    <col width="18" customWidth="1" min="6" max="6"/>
    <col width="18" customWidth="1" min="7" max="7"/>
    <col width="18" customWidth="1" min="8" max="8"/>
  </cols>
  <sheetData>
    <row r="1">
      <c r="B1" s="1" t="inlineStr">
        <is>
          <t>Appendix A - One-page model summary (live key figures, then the team summary text)</t>
        </is>
      </c>
    </row>
    <row r="3">
      <c r="A3" s="12" t="inlineStr">
        <is>
          <t>Key figures (live links to the model tabs)</t>
        </is>
      </c>
      <c r="B3" s="13" t="n"/>
      <c r="C3" s="13" t="n"/>
      <c r="D3" s="13" t="n"/>
      <c r="E3" s="13" t="n"/>
      <c r="F3" s="13" t="n"/>
      <c r="G3" s="13" t="n"/>
      <c r="H3" s="13" t="n"/>
    </row>
    <row r="4" ht="30" customHeight="1">
      <c r="B4" s="39" t="inlineStr">
        <is>
          <t>Business segment</t>
        </is>
      </c>
      <c r="C4" s="39" t="inlineStr">
        <is>
          <t>Baseline value ($M)</t>
        </is>
      </c>
      <c r="D4" s="39" t="inlineStr">
        <is>
          <t>% of total</t>
        </is>
      </c>
      <c r="E4" s="39" t="inlineStr">
        <is>
          <t>Discount rate</t>
        </is>
      </c>
      <c r="F4" s="39" t="inlineStr">
        <is>
          <t>FY2026A sales ($M)</t>
        </is>
      </c>
      <c r="G4" s="39" t="inlineStr">
        <is>
          <t>FY2027E operating income ($M)</t>
        </is>
      </c>
      <c r="H4" s="39" t="inlineStr">
        <is>
          <t>FY2027E net income ($M)</t>
        </is>
      </c>
    </row>
    <row r="5">
      <c r="B5" s="7" t="inlineStr">
        <is>
          <t>North America</t>
        </is>
      </c>
      <c r="C5" s="30">
        <f>'Model - NA'!C98</f>
        <v/>
      </c>
      <c r="D5" s="19">
        <f>IF($C$8=0,0,C5/$C$8)</f>
        <v/>
      </c>
      <c r="E5" s="40">
        <f>'Model - NA'!C94</f>
        <v/>
      </c>
      <c r="F5" s="30">
        <f>'Model - NA'!C70</f>
        <v/>
      </c>
      <c r="G5" s="30">
        <f>'Model - NA'!D80</f>
        <v/>
      </c>
      <c r="H5" s="30">
        <f>'Model - NA'!D87</f>
        <v/>
      </c>
    </row>
    <row r="6">
      <c r="B6" s="7" t="inlineStr">
        <is>
          <t>International</t>
        </is>
      </c>
      <c r="C6" s="30">
        <f>'Model - INTL'!C98</f>
        <v/>
      </c>
      <c r="D6" s="19">
        <f>IF($C$8=0,0,C6/$C$8)</f>
        <v/>
      </c>
      <c r="E6" s="40">
        <f>'Model - INTL'!C94</f>
        <v/>
      </c>
      <c r="F6" s="30">
        <f>'Model - INTL'!C70</f>
        <v/>
      </c>
      <c r="G6" s="30">
        <f>'Model - INTL'!D80</f>
        <v/>
      </c>
      <c r="H6" s="30">
        <f>'Model - INTL'!D87</f>
        <v/>
      </c>
    </row>
    <row r="7">
      <c r="B7" s="7" t="inlineStr">
        <is>
          <t>Other / Corporate</t>
        </is>
      </c>
      <c r="C7" s="30">
        <f>'Model - OTHER'!C98</f>
        <v/>
      </c>
      <c r="D7" s="19">
        <f>IF($C$8=0,0,C7/$C$8)</f>
        <v/>
      </c>
      <c r="E7" s="40">
        <f>'Model - OTHER'!C94</f>
        <v/>
      </c>
      <c r="F7" s="30">
        <f>'Model - OTHER'!C70</f>
        <v/>
      </c>
      <c r="G7" s="30">
        <f>'Model - OTHER'!D80</f>
        <v/>
      </c>
      <c r="H7" s="30">
        <f>'Model - OTHER'!D87</f>
        <v/>
      </c>
    </row>
    <row r="8">
      <c r="B8" s="3" t="inlineStr">
        <is>
          <t>Total company</t>
        </is>
      </c>
      <c r="C8" s="26">
        <f>SUM(C5:C7)</f>
        <v/>
      </c>
      <c r="D8" s="37">
        <f>SUM(D5:D7)</f>
        <v/>
      </c>
      <c r="F8" s="26">
        <f>SUM(F5:F7)</f>
        <v/>
      </c>
      <c r="G8" s="26">
        <f>SUM(G5:G7)</f>
        <v/>
      </c>
      <c r="H8" s="26">
        <f>SUM(H5:H7)</f>
        <v/>
      </c>
    </row>
    <row r="9">
      <c r="B9" s="7" t="inlineStr">
        <is>
          <t>Market capitalization ($M, Oct 9, 2026)</t>
        </is>
      </c>
      <c r="C9" s="30">
        <f>'Total Company'!C124</f>
        <v/>
      </c>
    </row>
    <row r="10">
      <c r="B10" s="7" t="inlineStr">
        <is>
          <t>Model value / market cap - 1</t>
        </is>
      </c>
      <c r="C10" s="40">
        <f>'Total Company'!C126</f>
        <v/>
      </c>
    </row>
    <row r="11">
      <c r="B11" s="7" t="inlineStr">
        <is>
          <t>Model value per share ($)</t>
        </is>
      </c>
      <c r="C11" s="45">
        <f>'Total Company'!C127</f>
        <v/>
      </c>
    </row>
    <row r="12">
      <c r="B12" s="7" t="inlineStr">
        <is>
          <t>FY2027E total sales ($M)</t>
        </is>
      </c>
      <c r="C12" s="30">
        <f>'Total Company'!D70</f>
        <v/>
      </c>
    </row>
    <row r="13">
      <c r="B13" s="7" t="inlineStr">
        <is>
          <t>FY2027E diluted EPS ($)</t>
        </is>
      </c>
      <c r="C13" s="48">
        <f>'Total Company'!D116</f>
        <v/>
      </c>
    </row>
    <row r="15" ht="54" customHeight="1">
      <c r="B15" s="4" t="inlineStr">
        <is>
          <t>Workbook: Team2_Signet_VB-ERM_Baseline_3a.xlsx (8 model tabs: Cover, Assumptions &amp; Sources, Model - NA, Model - INTL, Model - OTHER, Total Company, Summary &amp; Chart, Checks; plus four appendix tabs holding this summary, the design memo, the research notes and all extracted data). Built October 13, 2026 from build/build_model.py; recalculated in LibreOffice; all 32 integrity checks TRUE. $ millions.</t>
        </is>
      </c>
    </row>
    <row r="16">
      <c r="A16" s="12" t="inlineStr">
        <is>
          <t>Baseline company value by segment</t>
        </is>
      </c>
      <c r="B16" s="13" t="n"/>
      <c r="C16" s="13" t="n"/>
      <c r="D16" s="13" t="n"/>
      <c r="E16" s="13" t="n"/>
      <c r="F16" s="13" t="n"/>
      <c r="G16" s="13" t="n"/>
      <c r="H16" s="13" t="n"/>
    </row>
    <row r="17" ht="28" customHeight="1">
      <c r="B17" s="49" t="inlineStr">
        <is>
          <t>Segment</t>
        </is>
      </c>
      <c r="C17" s="50" t="inlineStr">
        <is>
          <t>Baseline value</t>
        </is>
      </c>
      <c r="D17" s="50" t="inlineStr">
        <is>
          <t>% of total</t>
        </is>
      </c>
      <c r="E17" s="50" t="inlineStr">
        <is>
          <t>Discount rate</t>
        </is>
      </c>
      <c r="F17" s="50" t="inlineStr">
        <is>
          <t>FY2026A sales</t>
        </is>
      </c>
      <c r="G17" s="50" t="inlineStr">
        <is>
          <t>FY2027E net income</t>
        </is>
      </c>
    </row>
    <row r="18" ht="14.5" customHeight="1">
      <c r="B18" s="51" t="inlineStr">
        <is>
          <t>North America</t>
        </is>
      </c>
      <c r="C18" s="52" t="n">
        <v>3452.2</v>
      </c>
      <c r="D18" s="53" t="n">
        <v>1.047</v>
      </c>
      <c r="E18" s="53" t="n">
        <v>0.105</v>
      </c>
      <c r="F18" s="52" t="n">
        <v>6363.6</v>
      </c>
      <c r="G18" s="52" t="n">
        <v>461</v>
      </c>
    </row>
    <row r="19" ht="14.5" customHeight="1">
      <c r="B19" s="51" t="inlineStr">
        <is>
          <t>International</t>
        </is>
      </c>
      <c r="C19" s="52" t="n">
        <v>107.7</v>
      </c>
      <c r="D19" s="53" t="n">
        <v>0.033</v>
      </c>
      <c r="E19" s="53" t="n">
        <v>0.12</v>
      </c>
      <c r="F19" s="52" t="n">
        <v>410.4</v>
      </c>
      <c r="G19" s="52" t="n">
        <v>13</v>
      </c>
    </row>
    <row r="20" ht="14.5" customHeight="1">
      <c r="B20" s="51" t="inlineStr">
        <is>
          <t>Other / Corporate</t>
        </is>
      </c>
      <c r="C20" s="52" t="n">
        <v>-263.4</v>
      </c>
      <c r="D20" s="53" t="n">
        <v>-0.08</v>
      </c>
      <c r="E20" s="53" t="n">
        <v>0.105</v>
      </c>
      <c r="F20" s="52" t="n">
        <v>39.6</v>
      </c>
      <c r="G20" s="52" t="n">
        <v>-41.2</v>
      </c>
    </row>
    <row r="21" ht="14.5" customHeight="1">
      <c r="B21" s="51" t="inlineStr">
        <is>
          <t>Total company</t>
        </is>
      </c>
      <c r="C21" s="52" t="n">
        <v>3296.5</v>
      </c>
      <c r="D21" s="53" t="n">
        <v>1</v>
      </c>
      <c r="E21" s="51" t="inlineStr"/>
      <c r="F21" s="52" t="n">
        <v>6813.6</v>
      </c>
      <c r="G21" s="52" t="n">
        <v>432.9</v>
      </c>
    </row>
    <row r="23" ht="54" customHeight="1">
      <c r="B23" s="4" t="inlineStr">
        <is>
          <t>Market capitalization on October 9, 2026 was about $3,945.8M ($105.22 x 37.5M shares), so the model sits 16.5% below the market (model value per share $87.91). That gap is inside the +/-30% band the brief treats as plausible; it mostly reflects a static balance sheet (no buyback-driven EPS growth, no value for cash above book) and a 10.5% cost of equity at a 5.24% risk-free rate.</t>
        </is>
      </c>
    </row>
    <row r="24" ht="40.5" customHeight="1">
      <c r="B24" s="4" t="inlineStr">
        <is>
          <t>FY2027E lands inside management's September 2026 guidance: sales $6,831.5M (guidance $6.7-6.9B; consensus $6.84B), operating income $563.7M (adjusted guidance $535-605M), diluted EPS $11.16 on 38.8M shares (adjusted guidance $10.45-12.15; consensus $10.76). FY2028 dips slightly (no repeat of the $30M tariff refund) and then grows about 2-3% a year.</t>
        </is>
      </c>
    </row>
    <row r="25">
      <c r="A25" s="12" t="inlineStr">
        <is>
          <t>Valuation approach and why</t>
        </is>
      </c>
      <c r="B25" s="13" t="n"/>
      <c r="C25" s="13" t="n"/>
      <c r="D25" s="13" t="n"/>
      <c r="E25" s="13" t="n"/>
      <c r="F25" s="13" t="n"/>
      <c r="G25" s="13" t="n"/>
      <c r="H25" s="13" t="n"/>
    </row>
    <row r="26" ht="81" customHeight="1">
      <c r="B26" s="4" t="inlineStr">
        <is>
          <t>Profits released (the Pear approach): each segment distributes 100% of net income every year, the simplified cash-basis balance sheet is static, and segment value = NPV at the segment cost of equity of FY2027-FY2036 distributable cash flows + PV of terminal equity (= FY2036 shareholders' equity, $1,966.2M in total). Company value = sum of segment values. Justification: common dividends plus buybacks were $257M against $294M of net income in FY2026 (87%), about $197M against roughly $84M in H1 FY2027, with a further $125M accelerated repurchase announced in September 2026, so distributing all earnings matches Signet's behaviour better than retaining them. Equity(t) = Equity(t-1) + NI(t) - Distributions(t) holds in every tab (Checks tab).</t>
        </is>
      </c>
    </row>
    <row r="27">
      <c r="A27" s="12" t="inlineStr">
        <is>
          <t>The five assumptions that move the answer most (total value, re-run of the model)</t>
        </is>
      </c>
      <c r="B27" s="13" t="n"/>
      <c r="C27" s="13" t="n"/>
      <c r="D27" s="13" t="n"/>
      <c r="E27" s="13" t="n"/>
      <c r="F27" s="13" t="n"/>
      <c r="G27" s="13" t="n"/>
      <c r="H27" s="13" t="n"/>
    </row>
    <row r="28" ht="28" customHeight="1">
      <c r="B28" s="49" t="inlineStr">
        <is>
          <t>Assumption shocked (all years, all segments)</t>
        </is>
      </c>
      <c r="C28" s="50" t="inlineStr">
        <is>
          <t>-1pp</t>
        </is>
      </c>
      <c r="D28" s="50" t="inlineStr">
        <is>
          <t>Base</t>
        </is>
      </c>
      <c r="E28" s="50" t="inlineStr">
        <is>
          <t>+1pp</t>
        </is>
      </c>
      <c r="F28" s="50" t="inlineStr">
        <is>
          <t>Impact of +1pp</t>
        </is>
      </c>
    </row>
    <row r="29" ht="27" customHeight="1">
      <c r="B29" s="51" t="inlineStr">
        <is>
          <t>Gross margin (cost of sales % moves the other way)</t>
        </is>
      </c>
      <c r="C29" s="52" t="n">
        <v>2965.5</v>
      </c>
      <c r="D29" s="52" t="n">
        <v>3296.5</v>
      </c>
      <c r="E29" s="52" t="n">
        <v>3627.6</v>
      </c>
      <c r="F29" s="51" t="inlineStr">
        <is>
          <t>+331.0 (+10.0%)</t>
        </is>
      </c>
    </row>
    <row r="30" ht="14.5" customHeight="1">
      <c r="B30" s="51" t="inlineStr">
        <is>
          <t>Variable SG&amp;A % of sales</t>
        </is>
      </c>
      <c r="C30" s="52" t="n">
        <v>3627.6</v>
      </c>
      <c r="D30" s="52" t="n">
        <v>3296.5</v>
      </c>
      <c r="E30" s="52" t="n">
        <v>2965.5</v>
      </c>
      <c r="F30" s="51" t="inlineStr">
        <is>
          <t>-331.0 (-10.0%)</t>
        </is>
      </c>
    </row>
    <row r="31" ht="27" customHeight="1">
      <c r="B31" s="51" t="inlineStr">
        <is>
          <t>Revenue growth (same-store, e-commerce and other revenue growth)</t>
        </is>
      </c>
      <c r="C31" s="52" t="n">
        <v>2985.6</v>
      </c>
      <c r="D31" s="52" t="n">
        <v>3296.5</v>
      </c>
      <c r="E31" s="52" t="n">
        <v>3624.6</v>
      </c>
      <c r="F31" s="51" t="inlineStr">
        <is>
          <t>+328.0 (+10.0%)</t>
        </is>
      </c>
    </row>
    <row r="32" ht="14.5" customHeight="1">
      <c r="B32" s="51" t="inlineStr">
        <is>
          <t>Fixed SG&amp;A inflation</t>
        </is>
      </c>
      <c r="C32" s="52" t="n">
        <v>3491.8</v>
      </c>
      <c r="D32" s="52" t="n">
        <v>3296.5</v>
      </c>
      <c r="E32" s="52" t="n">
        <v>3090.5</v>
      </c>
      <c r="F32" s="51" t="inlineStr">
        <is>
          <t>-206.0 (-6.2%)</t>
        </is>
      </c>
    </row>
    <row r="33" ht="14.5" customHeight="1">
      <c r="B33" s="51" t="inlineStr">
        <is>
          <t>Discount rate (cost of equity)</t>
        </is>
      </c>
      <c r="C33" s="52" t="n">
        <v>3480.7</v>
      </c>
      <c r="D33" s="52" t="n">
        <v>3296.5</v>
      </c>
      <c r="E33" s="52" t="n">
        <v>3126.4</v>
      </c>
      <c r="F33" s="51" t="inlineStr">
        <is>
          <t>-170.1 (-5.2%)</t>
        </is>
      </c>
    </row>
    <row r="34" ht="14.5" customHeight="1">
      <c r="B34" s="51" t="inlineStr">
        <is>
          <t>Effective tax rate</t>
        </is>
      </c>
      <c r="C34" s="52" t="n">
        <v>3330.5</v>
      </c>
      <c r="D34" s="52" t="n">
        <v>3296.5</v>
      </c>
      <c r="E34" s="52" t="n">
        <v>3262.6</v>
      </c>
      <c r="F34" s="51" t="inlineStr">
        <is>
          <t>-33.9 (-1.0%)</t>
        </is>
      </c>
    </row>
    <row r="35" ht="14.5" customHeight="1">
      <c r="B35" s="51" t="inlineStr">
        <is>
          <t>NA store closures +/-10 per year</t>
        </is>
      </c>
      <c r="C35" s="52" t="n">
        <v>3387.6</v>
      </c>
      <c r="D35" s="52" t="n">
        <v>3296.5</v>
      </c>
      <c r="E35" s="52" t="n">
        <v>3205.5</v>
      </c>
      <c r="F35" s="51" t="inlineStr">
        <is>
          <t>-91.0 (-2.8%)</t>
        </is>
      </c>
    </row>
    <row r="37" ht="40.5" customHeight="1">
      <c r="B37" s="4" t="inlineStr">
        <is>
          <t>Reading: one point of gross margin or of variable SG&amp;A is worth about $330M of value (10%); one point of annual revenue growth about the same; a point on the discount rate about $170-185M. These are the levers 3(d) scenarios (lab-grown pricing, tariffs/gold, traffic shocks, cyber outage, UK recession, rates) will push.</t>
        </is>
      </c>
    </row>
    <row r="38">
      <c r="A38" s="12" t="inlineStr">
        <is>
          <t>Open questions for the lecturer / TAs</t>
        </is>
      </c>
      <c r="B38" s="13" t="n"/>
      <c r="C38" s="13" t="n"/>
      <c r="D38" s="13" t="n"/>
      <c r="E38" s="13" t="n"/>
      <c r="F38" s="13" t="n"/>
      <c r="G38" s="13" t="n"/>
      <c r="H38" s="13" t="n"/>
    </row>
    <row r="39" ht="27" customHeight="1">
      <c r="B39" s="4" t="inlineStr">
        <is>
          <t>• Three-tab structure with OTHER = diamond sourcing + corporate (negative value of -$263M). Acceptable, or allocate corporate costs into NA/INTL?</t>
        </is>
      </c>
    </row>
    <row r="40" ht="14.5" customHeight="1">
      <c r="B40" s="4" t="inlineStr">
        <is>
          <t>• Profits released rather than profits retained: confirm acceptable and that the same approach must carry into 3(d).</t>
        </is>
      </c>
    </row>
    <row r="41" ht="27" customHeight="1">
      <c r="B41" s="4" t="inlineStr">
        <is>
          <t>• Terminal value = book equity via a single "other liabilities, net" calibration plug: preferred to a tangible-equity terminal value?</t>
        </is>
      </c>
    </row>
    <row r="42" ht="27" customHeight="1">
      <c r="B42" s="4" t="inlineStr">
        <is>
          <t>• Segment cost allocation: the FY2026 segment cost-of-sales/SG&amp;A table (Note 5) was not retrievable in the build environment; do they want the replacement before Session 7?</t>
        </is>
      </c>
    </row>
    <row r="43" ht="14.5" customHeight="1">
      <c r="B43" s="4" t="inlineStr">
        <is>
          <t>• One CAPM rate per segment (10.5% / 12.0% / 10.5%) at a 5.24% 10-year Treasury: is an International premium appropriate?</t>
        </is>
      </c>
    </row>
    <row r="44">
      <c r="A44" s="12" t="inlineStr">
        <is>
          <t>Things a teammate should double-check (in priority order)</t>
        </is>
      </c>
      <c r="B44" s="13" t="n"/>
      <c r="C44" s="13" t="n"/>
      <c r="D44" s="13" t="n"/>
      <c r="E44" s="13" t="n"/>
      <c r="F44" s="13" t="n"/>
      <c r="G44" s="13" t="n"/>
      <c r="H44" s="13" t="n"/>
    </row>
    <row r="45" ht="40.5" customHeight="1">
      <c r="B45" s="4" t="inlineStr">
        <is>
          <t>• Open the 10-K (sig-20260131.htm) and replace the allocated FY2026 segment cost of sales / SG&amp;A / other operating items (Model tabs, Last Yr column, rows 72, 75-76, 79) with the Note 5 figures; segment operating income must still tie (452.6 / 16.3 / -75.8). Then rerun python3 build/build_model.py so the baseline snapshot is re-pasted.</t>
        </is>
      </c>
    </row>
    <row r="46" ht="27" customHeight="1">
      <c r="B46" s="4" t="inlineStr">
        <is>
          <t>• Confirm the e-commerce split (NA $1,423.8M / INTL $61.6M of the 21.8% total) and services split (NA $760.0M / INTL $41.0M of $803.5M) against the 10-K disaggregation note; these set sales per store.</t>
        </is>
      </c>
    </row>
    <row r="47" ht="27" customHeight="1">
      <c r="B47" s="4" t="inlineStr">
        <is>
          <t>• Confirm shares outstanding (37.5M used; sources range 37.3-38.3M) and the October 9 close ($105.22); update the market block on the Total Company tab if the submission date moves.</t>
        </is>
      </c>
    </row>
    <row r="48" ht="27" customHeight="1">
      <c r="B48" s="4" t="inlineStr">
        <is>
          <t>• Review the FY2027 cost-of-sales step-down to 59.3% in NA (credit-agreement benefit) and the +$30M FY2027 tariff refund in other operating income; both are management statements, not booked results.</t>
        </is>
      </c>
    </row>
    <row r="49" ht="27" customHeight="1">
      <c r="B49" s="4" t="inlineStr">
        <is>
          <t>• Sanity-check the 0.7% net yield on cash (calibrated to reported net interest income of $4.0M) and whether the TAs prefer gross interest income at a money-market rate.</t>
        </is>
      </c>
    </row>
    <row r="50" ht="27" customHeight="1">
      <c r="B50" s="4" t="inlineStr">
        <is>
          <t>• Open the file in desktop Excel (not Google Sheets), confirm the Cover status cell shows "ALL CHECKS PASS", the two charts render on Summary &amp; Chart, and save once so cached values are stored.</t>
        </is>
      </c>
    </row>
  </sheetData>
  <mergeCells count="16">
    <mergeCell ref="B50:H50"/>
    <mergeCell ref="B26:H26"/>
    <mergeCell ref="B40:H40"/>
    <mergeCell ref="B41:H41"/>
    <mergeCell ref="B49:H49"/>
    <mergeCell ref="B43:H43"/>
    <mergeCell ref="B39:H39"/>
    <mergeCell ref="B24:H24"/>
    <mergeCell ref="B47:H47"/>
    <mergeCell ref="B48:H48"/>
    <mergeCell ref="B15:H15"/>
    <mergeCell ref="B46:H46"/>
    <mergeCell ref="B42:H42"/>
    <mergeCell ref="B37:H37"/>
    <mergeCell ref="B45:H45"/>
    <mergeCell ref="B23:H23"/>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H29"/>
  <sheetViews>
    <sheetView workbookViewId="0">
      <selection activeCell="A1" sqref="A1"/>
    </sheetView>
  </sheetViews>
  <sheetFormatPr baseColWidth="8" defaultRowHeight="15"/>
  <cols>
    <col width="3" customWidth="1" min="1" max="1"/>
    <col width="36" customWidth="1" min="2" max="2"/>
    <col width="18" customWidth="1" min="3" max="3"/>
    <col width="18" customWidth="1" min="4" max="4"/>
    <col width="18" customWidth="1" min="5" max="5"/>
    <col width="18" customWidth="1" min="6" max="6"/>
    <col width="18" customWidth="1" min="7" max="7"/>
    <col width="18" customWidth="1" min="8" max="8"/>
  </cols>
  <sheetData>
    <row r="1">
      <c r="B1" s="1" t="inlineStr">
        <is>
          <t>Appendix B - Design memo (segment structure, drivers, valuation approach, discount rate)</t>
        </is>
      </c>
    </row>
    <row r="3" ht="40.5" customHeight="1">
      <c r="B3" s="4" t="inlineStr">
        <is>
          <t>Prepared for Meher Jain, Case Team #2, October 13, 2026. These are the recommended options. Because no reply was received before the build, the model was built on the recommendations below and each one is flagged in the "Questions for the lecturer / TAs" section of the Assumptions &amp; Sources tab.</t>
        </is>
      </c>
    </row>
    <row r="4">
      <c r="A4" s="12" t="inlineStr">
        <is>
          <t>1. Segment structure: three identical tabs, NA / INTL / OTHER</t>
        </is>
      </c>
      <c r="B4" s="13" t="n"/>
      <c r="C4" s="13" t="n"/>
      <c r="D4" s="13" t="n"/>
      <c r="E4" s="13" t="n"/>
      <c r="F4" s="13" t="n"/>
      <c r="G4" s="13" t="n"/>
      <c r="H4" s="13" t="n"/>
    </row>
    <row r="5" ht="54" customHeight="1">
      <c r="B5" s="4" t="inlineStr">
        <is>
          <t>Recommended and built: Model - NA (North America reportable segment), Model - INTL (International reportable segment), Model - OTHER (the "Other" diamond-sourcing segment plus corporate and unallocated costs). The Total Company tab is a pure sum, so FY2026A sales ($6,813.6M), operating income ($393.1M) and net income ($294.4M) reproduce the consolidated statements exactly.</t>
        </is>
      </c>
    </row>
    <row r="6" ht="67.5" customHeight="1">
      <c r="B6" s="4" t="inlineStr">
        <is>
          <t>Trade-off: allocating OTHER into NA and INTL would make every segment value positive and the chart tidier, but it would bury $56M of corporate cost inside the operating segments and break the tie to Signet's own segment disclosure. Keeping OTHER separate shows the corporate cost center as a negative value (about -$0.26B), which is informative for risk scenarios (e.g., a cyber incident or litigation reserve hits corporate). This is flagged as question 1 for the lecturer, because the Session 5 guidelines ask for approval of any non-standard structure.</t>
        </is>
      </c>
    </row>
    <row r="7">
      <c r="A7" s="12" t="inlineStr">
        <is>
          <t>2. Revenue drivers (never a hard-coded revenue line)</t>
        </is>
      </c>
      <c r="B7" s="13" t="n"/>
      <c r="C7" s="13" t="n"/>
      <c r="D7" s="13" t="n"/>
      <c r="E7" s="13" t="n"/>
      <c r="F7" s="13" t="n"/>
      <c r="G7" s="13" t="n"/>
      <c r="H7" s="13" t="n"/>
    </row>
    <row r="8" ht="27" customHeight="1">
      <c r="B8" s="4" t="inlineStr">
        <is>
          <t>Total sales in each tab = (a) store merchandise sales + (b) e-commerce merchandise sales + (c) services revenue + (d) other non-retail revenue, where:</t>
        </is>
      </c>
    </row>
    <row r="9" ht="27" customHeight="1">
      <c r="B9" s="4" t="inlineStr">
        <is>
          <t>• (a) = average store count x sales per average store; store count rolls forward from beginning stores + gross openings - closures; sales per store grows at the same-store-sales assumption (price/mix plus traffic).</t>
        </is>
      </c>
    </row>
    <row r="10" ht="27" customHeight="1">
      <c r="B10" s="4" t="inlineStr">
        <is>
          <t>• (b) = prior-year e-commerce sales x (1 + e-commerce growth). For NA this includes the digital-native brands (James Allen, Blue Nile, $481.5M) and the store brands' online sales; for INTL it is H.Samuel / Ernest Jones online; OTHER is zero.</t>
        </is>
      </c>
    </row>
    <row r="11" ht="14.5" customHeight="1">
      <c r="B11" s="4" t="inlineStr">
        <is>
          <t>• (c) = services attach rate x merchandise sales (extended service plans, repairs, custom design; $803.5M in FY2026).</t>
        </is>
      </c>
    </row>
    <row r="12" ht="14.5" customHeight="1">
      <c r="B12" s="4" t="inlineStr">
        <is>
          <t>• (d) = prior year x growth; non-zero only in OTHER (diamond sourcing sales to third parties, $39.6M).</t>
        </is>
      </c>
    </row>
    <row r="13" ht="40.5" customHeight="1">
      <c r="B13" s="4" t="inlineStr">
        <is>
          <t>Segment-specific values: NA has openings and closures (net closures continue as mall stores are repositioned off-mall), INTL has a small net closure programme, OTHER has zero stores, zero e-commerce and zero services, with those rows kept in the layout at zero.</t>
        </is>
      </c>
    </row>
    <row r="14">
      <c r="A14" s="12" t="inlineStr">
        <is>
          <t>3. Expense drivers</t>
        </is>
      </c>
      <c r="B14" s="13" t="n"/>
      <c r="C14" s="13" t="n"/>
      <c r="D14" s="13" t="n"/>
      <c r="E14" s="13" t="n"/>
      <c r="F14" s="13" t="n"/>
      <c r="G14" s="13" t="n"/>
      <c r="H14" s="13" t="n"/>
    </row>
    <row r="15" ht="14.5" customHeight="1">
      <c r="B15" s="4" t="inlineStr">
        <is>
          <t>• Cost of sales = % of total sales (gross-margin assumption; Signet books store occupancy in cost of sales).</t>
        </is>
      </c>
    </row>
    <row r="16" ht="27" customHeight="1">
      <c r="B16" s="4" t="inlineStr">
        <is>
          <t>• SG&amp;A split into variable (% of sales: store payroll, advertising, credit costs) and fixed (grown at inflation, less a cost-savings line that is zero because no quantified programme is disclosed).</t>
        </is>
      </c>
    </row>
    <row r="17" ht="27" customHeight="1">
      <c r="B17" s="4" t="inlineStr">
        <is>
          <t>• Other operating income/(expense): one-time items. Baseline carries +$30M in FY2027 for the tariff refunds management expects, zero afterwards.</t>
        </is>
      </c>
    </row>
    <row r="18" ht="27" customHeight="1">
      <c r="B18" s="4" t="inlineStr">
        <is>
          <t>• Interest income = net yield x prior-year invested assets (cash); interest expense = rate x prior-year debt (debt is zero; the row exists for shocks).</t>
        </is>
      </c>
    </row>
    <row r="19" ht="27" customHeight="1">
      <c r="B19" s="4" t="inlineStr">
        <is>
          <t>• Income tax = effective rate x pre-tax income (24% NA/OTHER per FY2027 guidance of 23-25%; 25% INTL, the UK statutory rate).</t>
        </is>
      </c>
    </row>
    <row r="20">
      <c r="A20" s="12" t="inlineStr">
        <is>
          <t>4. Line-item granularity (cash basis)</t>
        </is>
      </c>
      <c r="B20" s="13" t="n"/>
      <c r="C20" s="13" t="n"/>
      <c r="D20" s="13" t="n"/>
      <c r="E20" s="13" t="n"/>
      <c r="F20" s="13" t="n"/>
      <c r="G20" s="13" t="n"/>
      <c r="H20" s="13" t="n"/>
    </row>
    <row r="21" ht="108" customHeight="1">
      <c r="B21" s="4" t="inlineStr">
        <is>
          <t>Kept: cash (invested assets), inventory (non-depreciating operating asset), debt, and a single "other liabilities, net" line that calibrates the simplified balance sheet to reported shareholders' equity ($1,966.2M). Excluded: depreciation and amortization, capital expenditures, receivables, payables, leases, goodwill and intangibles, deferred revenue, per the Session 5 guideline that accounting should be as close to cash as possible. The income statement has enough lines for the likely 3(d) shocks: competition/lab-grown pricing (sales per store, gross margin), tariffs/supplier disruption (gross margin, one-time costs), cyber/IT outage (e-commerce growth, one-time costs), store traffic (same-store sales), reputational events (sales per store, advertising in variable SG&amp;A), UK/Ireland recession and FX (INTL drivers), interest rates (yield on cash, rate on debt, discount rate).</t>
        </is>
      </c>
    </row>
    <row r="22">
      <c r="A22" s="12" t="inlineStr">
        <is>
          <t>5. Horizon and valuation approach: profits released, 10 years + terminal equity</t>
        </is>
      </c>
      <c r="B22" s="13" t="n"/>
      <c r="C22" s="13" t="n"/>
      <c r="D22" s="13" t="n"/>
      <c r="E22" s="13" t="n"/>
      <c r="F22" s="13" t="n"/>
      <c r="G22" s="13" t="n"/>
      <c r="H22" s="13" t="n"/>
    </row>
    <row r="23" ht="81" customHeight="1">
      <c r="B23" s="4" t="inlineStr">
        <is>
          <t>Last Yr = FY2026A, model years FY2027-FY2036. Approach: profits released (the Pear approach). Net income is distributed each year, the balance sheet is static, and segment value = NPV(discount rate, distributable cash flows FY2027-FY2036) + ending equity / (1 + discount rate)^10. Justification: common dividends plus buybacks were $257M against $294M of net income in FY2026 (87%), $197M against about $84M in the first half of FY2027, and the board added a $125M accelerated repurchase in September 2026, so distributing all earnings is the closer approximation of Signet's actual behaviour. Equity(t) = Equity(t-1) + Net income(t) - Distributions(t) holds in every tab and is tested on the Checks tab.</t>
        </is>
      </c>
    </row>
    <row r="24">
      <c r="A24" s="12" t="inlineStr">
        <is>
          <t>6. Discount rate</t>
        </is>
      </c>
      <c r="B24" s="13" t="n"/>
      <c r="C24" s="13" t="n"/>
      <c r="D24" s="13" t="n"/>
      <c r="E24" s="13" t="n"/>
      <c r="F24" s="13" t="n"/>
      <c r="G24" s="13" t="n"/>
      <c r="H24" s="13" t="n"/>
    </row>
    <row r="25" ht="54" customHeight="1">
      <c r="B25" s="4" t="inlineStr">
        <is>
          <t>CAPM: risk-free 5.24% (10-year Treasury, October 9, 2026), beta 1.25 (midpoint of 1.10-1.44 published betas), implied equity risk premium 4.20% (Damodaran, October 1, 2026) gives 10.5% for NA and OTHER. INTL carries a 1.5-point premium (12.0%) for scale, UK demand weakness and GBP exposure. No sell-side WACC was retrievable; 10.5% is inside the 9-12% band typical for specialty retail.</t>
        </is>
      </c>
    </row>
    <row r="26">
      <c r="A26" s="12" t="inlineStr">
        <is>
          <t>7. Significant digits</t>
        </is>
      </c>
      <c r="B26" s="13" t="n"/>
      <c r="C26" s="13" t="n"/>
      <c r="D26" s="13" t="n"/>
      <c r="E26" s="13" t="n"/>
      <c r="F26" s="13" t="n"/>
      <c r="G26" s="13" t="n"/>
      <c r="H26" s="13" t="n"/>
    </row>
    <row r="27" ht="14.5" customHeight="1">
      <c r="B27" s="4" t="inlineStr">
        <is>
          <t>$ millions to one decimal; rates to 0.1%; store counts as integers; sales per store in $M to three decimals.</t>
        </is>
      </c>
    </row>
    <row r="28">
      <c r="A28" s="12" t="inlineStr">
        <is>
          <t>Calibration targets</t>
        </is>
      </c>
      <c r="B28" s="13" t="n"/>
      <c r="C28" s="13" t="n"/>
      <c r="D28" s="13" t="n"/>
      <c r="E28" s="13" t="n"/>
      <c r="F28" s="13" t="n"/>
      <c r="G28" s="13" t="n"/>
      <c r="H28" s="13" t="n"/>
    </row>
    <row r="29" ht="40.5" customHeight="1">
      <c r="B29" s="4" t="inlineStr">
        <is>
          <t>FY2027 model: sales about $6.83B (guidance $6.7-6.9B, consensus $6.84B); operating income about $565M (adjusted guidance $535-605M); EPS about $11.2 on 38.8M shares (adjusted guidance $10.45-12.15). Company value within +/-30% of the $3.95B market capitalization.</t>
        </is>
      </c>
    </row>
  </sheetData>
  <mergeCells count="19">
    <mergeCell ref="B9:H9"/>
    <mergeCell ref="B6:H6"/>
    <mergeCell ref="B15:H15"/>
    <mergeCell ref="B5:H5"/>
    <mergeCell ref="B16:H16"/>
    <mergeCell ref="B25:H25"/>
    <mergeCell ref="B3:H3"/>
    <mergeCell ref="B18:H18"/>
    <mergeCell ref="B27:H27"/>
    <mergeCell ref="B21:H21"/>
    <mergeCell ref="B12:H12"/>
    <mergeCell ref="B11:H11"/>
    <mergeCell ref="B23:H23"/>
    <mergeCell ref="B8:H8"/>
    <mergeCell ref="B17:H17"/>
    <mergeCell ref="B13:H13"/>
    <mergeCell ref="B29:H29"/>
    <mergeCell ref="B10:H10"/>
    <mergeCell ref="B19:H19"/>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H103"/>
  <sheetViews>
    <sheetView workbookViewId="0">
      <selection activeCell="A1" sqref="A1"/>
    </sheetView>
  </sheetViews>
  <sheetFormatPr baseColWidth="8" defaultRowHeight="15"/>
  <cols>
    <col width="3" customWidth="1" min="1" max="1"/>
    <col width="36" customWidth="1" min="2" max="2"/>
    <col width="18" customWidth="1" min="3" max="3"/>
    <col width="18" customWidth="1" min="4" max="4"/>
    <col width="18" customWidth="1" min="5" max="5"/>
    <col width="18" customWidth="1" min="6" max="6"/>
    <col width="18" customWidth="1" min="7" max="7"/>
    <col width="18" customWidth="1" min="8" max="8"/>
  </cols>
  <sheetData>
    <row r="1">
      <c r="B1" s="1" t="inlineStr">
        <is>
          <t>Appendix C - Research notes: data pulled for the model, with APA 7th citations and reference list</t>
        </is>
      </c>
    </row>
    <row r="3" ht="27" customHeight="1">
      <c r="B3" s="4" t="inlineStr">
        <is>
          <t>Case Team #2 (Meher Jain, Zainab Razzaque, Stanley Weng, Jana Chamsi Bacha, Anderson Chan), Columbia University ERMC PS5900 Capstone, Fall 2026. Case Assignment #3(a). Notes compiled October 13, 2026.</t>
        </is>
      </c>
    </row>
    <row r="4">
      <c r="A4" s="12" t="inlineStr">
        <is>
          <t>0. How these numbers were obtained, and what still needs a second look</t>
        </is>
      </c>
      <c r="B4" s="13" t="n"/>
      <c r="C4" s="13" t="n"/>
      <c r="D4" s="13" t="n"/>
      <c r="E4" s="13" t="n"/>
      <c r="F4" s="13" t="n"/>
      <c r="G4" s="13" t="n"/>
      <c r="H4" s="13" t="n"/>
    </row>
    <row r="5" ht="108" customHeight="1">
      <c r="B5" s="4" t="inlineStr">
        <is>
          <t>The primary source for all historical figures is Signet's Form 10-K for the fiscal year ended January 31, 2026 ("Fiscal 2026"; Signet Jewelers Limited, 2026a) and the fourth-quarter earnings release filed as Exhibit 99.1 to Form 8-K on March 19, 2026 (Signet Jewelers Limited, 2026b). The build environment could not open sec.gov, signetjewelers.com or the q4cdn investor-relations host directly (the network policy returned a 403 for every attempt), so every figure below was taken from web-search excerpts of those documents and of their verbatim re-publications (Business Wire, Nasdaq, Morningstar, StreetInsider). The data/ folder tags each figure with a confidence code: A quoted verbatim from the primary document excerpt, B quoted from a verbatim re-publication or a secondary summary of the primary document, C derived by arithmetic from A/B figures, D team allocation or estimate.</t>
        </is>
      </c>
    </row>
    <row r="6" ht="81" customHeight="1">
      <c r="B6" s="4" t="inlineStr">
        <is>
          <t>Three items could not be retrieved and are therefore team allocations that should be replaced from the 10-K once a teammate opens it: (1) the Fiscal 2026 segment-level cost of sales and SG&amp;A table in the segment note (ASU 2023-07 "significant segment expenses"); (2) the Fiscal 2026 International adjusted operating income; and (3) the goodwill, intangibles and deferred-revenue balances (not needed for the cash-basis projection but useful for the balance-sheet reconciliation). The allocation actually used is in data/model_calibration_fy2026.csv and in the "Reclassifications and calibration" section of the workbook's Assumptions &amp; Sources tab.</t>
        </is>
      </c>
    </row>
    <row r="7">
      <c r="A7" s="12" t="inlineStr">
        <is>
          <t>1. Segment data (Fiscal 2026, Fiscal 2025, Fiscal 2024)</t>
        </is>
      </c>
      <c r="B7" s="13" t="n"/>
      <c r="C7" s="13" t="n"/>
      <c r="D7" s="13" t="n"/>
      <c r="E7" s="13" t="n"/>
      <c r="F7" s="13" t="n"/>
      <c r="G7" s="13" t="n"/>
      <c r="H7" s="13" t="n"/>
    </row>
    <row r="8" ht="81" customHeight="1">
      <c r="B8" s="4" t="inlineStr">
        <is>
          <t>Signet manages the business as three reportable segments: North America, International and Other, with corporate and unallocated costs shown separately in the segment note (Signet Jewelers Limited, 2026a). The North America segment operates Kay, Zales, Jared, Diamonds Direct, Banter by Piercing Pagoda, Rocksbox, the digital brands James Allen and Blue Nile, and Peoples Jewellers in Canada; the International segment operates H.Samuel and Ernest Jones in the UK and the Republic of Ireland; the Other segment consists of the subsidiaries that purchase and convert rough diamonds to polished stones (Signet Jewelers Limited, 2026a).</t>
        </is>
      </c>
    </row>
    <row r="9" ht="28" customHeight="1">
      <c r="B9" s="49" t="inlineStr">
        <is>
          <t>$ millions</t>
        </is>
      </c>
      <c r="C9" s="50" t="inlineStr">
        <is>
          <t>FY2024</t>
        </is>
      </c>
      <c r="D9" s="50" t="inlineStr">
        <is>
          <t>FY2025</t>
        </is>
      </c>
      <c r="E9" s="50" t="inlineStr">
        <is>
          <t>FY2026</t>
        </is>
      </c>
      <c r="F9" s="50" t="inlineStr">
        <is>
          <t>Source</t>
        </is>
      </c>
    </row>
    <row r="10" ht="27" customHeight="1">
      <c r="B10" s="51" t="inlineStr">
        <is>
          <t>Sales, North America</t>
        </is>
      </c>
      <c r="C10" s="52" t="n">
        <v>6703.8</v>
      </c>
      <c r="D10" s="52" t="n">
        <v>6299.1</v>
      </c>
      <c r="E10" s="52" t="n">
        <v>6363.6</v>
      </c>
      <c r="F10" s="51" t="inlineStr">
        <is>
          <t>Signet Jewelers Limited (2025a, 2026a)</t>
        </is>
      </c>
    </row>
    <row r="11" ht="27" customHeight="1">
      <c r="B11" s="51" t="inlineStr">
        <is>
          <t>Sales, International</t>
        </is>
      </c>
      <c r="C11" s="52" t="n">
        <v>430.7</v>
      </c>
      <c r="D11" s="52" t="n">
        <v>373.2</v>
      </c>
      <c r="E11" s="52" t="n">
        <v>410.4</v>
      </c>
      <c r="F11" s="51" t="inlineStr">
        <is>
          <t>Signet Jewelers Limited (2025a, 2026a)</t>
        </is>
      </c>
    </row>
    <row r="12" ht="27" customHeight="1">
      <c r="B12" s="51" t="inlineStr">
        <is>
          <t>Sales, Other</t>
        </is>
      </c>
      <c r="C12" s="51" t="inlineStr">
        <is>
          <t>n/r</t>
        </is>
      </c>
      <c r="D12" s="52" t="n">
        <v>31.5</v>
      </c>
      <c r="E12" s="52" t="n">
        <v>39.6</v>
      </c>
      <c r="F12" s="51" t="inlineStr">
        <is>
          <t>Signet Jewelers Limited (2025a, 2026a)</t>
        </is>
      </c>
    </row>
    <row r="13" ht="27" customHeight="1">
      <c r="B13" s="51" t="inlineStr">
        <is>
          <t>Sales, consolidated</t>
        </is>
      </c>
      <c r="C13" s="52" t="n">
        <v>7171.1</v>
      </c>
      <c r="D13" s="52" t="n">
        <v>6703.8</v>
      </c>
      <c r="E13" s="52" t="n">
        <v>6813.6</v>
      </c>
      <c r="F13" s="51" t="inlineStr">
        <is>
          <t>Signet Jewelers Limited (2024, 2026b)</t>
        </is>
      </c>
    </row>
    <row r="14" ht="27" customHeight="1">
      <c r="B14" s="51" t="inlineStr">
        <is>
          <t>Operating income (GAAP), North America</t>
        </is>
      </c>
      <c r="C14" s="52" t="n">
        <v>677</v>
      </c>
      <c r="D14" s="52" t="n">
        <v>173.7</v>
      </c>
      <c r="E14" s="52" t="n">
        <v>452.6</v>
      </c>
      <c r="F14" s="51" t="inlineStr">
        <is>
          <t>Signet Jewelers Limited (2025a, 2026b)</t>
        </is>
      </c>
    </row>
    <row r="15" ht="27" customHeight="1">
      <c r="B15" s="51" t="inlineStr">
        <is>
          <t>Operating income (GAAP), International</t>
        </is>
      </c>
      <c r="C15" s="52" t="n">
        <v>13.1</v>
      </c>
      <c r="D15" s="52" t="n">
        <v>1</v>
      </c>
      <c r="E15" s="52" t="n">
        <v>16.3</v>
      </c>
      <c r="F15" s="51" t="inlineStr">
        <is>
          <t>Signet Jewelers Limited (2025a, 2026b)</t>
        </is>
      </c>
    </row>
    <row r="16" ht="27" customHeight="1">
      <c r="B16" s="51" t="inlineStr">
        <is>
          <t>Operating income (GAAP), Other + corporate</t>
        </is>
      </c>
      <c r="C16" s="51" t="inlineStr">
        <is>
          <t>n/r</t>
        </is>
      </c>
      <c r="D16" s="52" t="n">
        <v>-64</v>
      </c>
      <c r="E16" s="52" t="n">
        <v>-75.8</v>
      </c>
      <c r="F16" s="51" t="inlineStr">
        <is>
          <t>derived</t>
        </is>
      </c>
    </row>
    <row r="17" ht="27" customHeight="1">
      <c r="B17" s="51" t="inlineStr">
        <is>
          <t>Operating income (GAAP), consolidated</t>
        </is>
      </c>
      <c r="C17" s="51" t="inlineStr">
        <is>
          <t>n/r</t>
        </is>
      </c>
      <c r="D17" s="52" t="n">
        <v>110.7</v>
      </c>
      <c r="E17" s="52" t="n">
        <v>393.1</v>
      </c>
      <c r="F17" s="51" t="inlineStr">
        <is>
          <t>Signet Jewelers Limited (2026b)</t>
        </is>
      </c>
    </row>
    <row r="18" ht="27" customHeight="1">
      <c r="B18" s="51" t="inlineStr">
        <is>
          <t>Adjusted operating income, North America</t>
        </is>
      </c>
      <c r="C18" s="52" t="n">
        <v>709.4</v>
      </c>
      <c r="D18" s="52" t="n">
        <v>551.2</v>
      </c>
      <c r="E18" s="52" t="n">
        <v>560.3</v>
      </c>
      <c r="F18" s="51" t="inlineStr">
        <is>
          <t>Signet Jewelers Limited (2025b, 2026b)</t>
        </is>
      </c>
    </row>
    <row r="19" ht="27" customHeight="1">
      <c r="B19" s="51" t="inlineStr">
        <is>
          <t>Adjusted operating income, International</t>
        </is>
      </c>
      <c r="C19" s="52" t="n">
        <v>2</v>
      </c>
      <c r="D19" s="52" t="n">
        <v>9.5</v>
      </c>
      <c r="E19" s="51" t="inlineStr">
        <is>
          <t>n/r</t>
        </is>
      </c>
      <c r="F19" s="51" t="inlineStr">
        <is>
          <t>Signet Jewelers Limited (2025b)</t>
        </is>
      </c>
    </row>
    <row r="20" ht="27" customHeight="1">
      <c r="B20" s="51" t="inlineStr">
        <is>
          <t>Adjusted operating income, consolidated</t>
        </is>
      </c>
      <c r="C20" s="51" t="inlineStr">
        <is>
          <t>n/r</t>
        </is>
      </c>
      <c r="D20" s="51" t="inlineStr">
        <is>
          <t>n/r</t>
        </is>
      </c>
      <c r="E20" s="52" t="n">
        <v>515</v>
      </c>
      <c r="F20" s="51" t="inlineStr">
        <is>
          <t>Signet Jewelers Limited (2026b)</t>
        </is>
      </c>
    </row>
    <row r="22" ht="94.5" customHeight="1">
      <c r="B22" s="4" t="inlineStr">
        <is>
          <t>n/r = not retrieved in this session. Fiscal 2024 was a 53-week year; the extra week added $103.2 million of sales (Signet Jewelers Limited, 2024). Fiscal 2025 North America operating income includes $371.7 million of goodwill and indefinite-lived intangible impairments, and Fiscal 2026 includes further digital-brand impairments and restructuring charges that explain the gap between GAAP ($393.1 million) and adjusted ($515.0 million) operating income (Signet Jewelers Limited, 2025a, 2026a, 2026b). The FY2025 10-K segment table shows SG&amp;A of $1,964.7 million for North America, $103.1 million for International and $51.3 million for corporate and unallocated (Signet Jewelers Limited, 2025a); these ratios were used to allocate Fiscal 2026 SG&amp;A because the Fiscal 2026 table was not retrievable.</t>
        </is>
      </c>
    </row>
    <row r="23" ht="54" customHeight="1">
      <c r="B23" s="4" t="inlineStr">
        <is>
          <t>Store counts. North America began Fiscal 2026 with 2,379 stores, opened 14, closed 64 and ended with 2,329; International began with 263, opened none, closed 10 and ended with 253; the company total fell from 2,642 to 2,582 (Signet Jewelers Limited, 2026a). By August 1, 2026 the fleet was 2,534 stores (North America 2,282 after 3 openings and 50 closures; International 252 after 2 openings and 3 closures) with 4.0 million square feet of selling space (Signet Jewelers Limited, 2026d).</t>
        </is>
      </c>
    </row>
    <row r="24" ht="54" customHeight="1">
      <c r="B24" s="4" t="inlineStr">
        <is>
          <t>Sales by banner, Fiscal 2026. Kay $2,572.6 million; Zales $1,235.5 million; Jared $1,143.0 million; Diamonds Direct $374.1 million; Blue Nile $339.0 million; Banter by Piercing Pagoda $330.1 million; Peoples $213.2 million; James Allen $142.5 million; International $410.4 million (Signet Jewelers Limited, 2026a). The two digital-native brands therefore generated $481.5 million, or 7.6% of North America sales.</t>
        </is>
      </c>
    </row>
    <row r="25">
      <c r="A25" s="12" t="inlineStr">
        <is>
          <t>2. Consolidated income statement</t>
        </is>
      </c>
      <c r="B25" s="13" t="n"/>
      <c r="C25" s="13" t="n"/>
      <c r="D25" s="13" t="n"/>
      <c r="E25" s="13" t="n"/>
      <c r="F25" s="13" t="n"/>
      <c r="G25" s="13" t="n"/>
      <c r="H25" s="13" t="n"/>
    </row>
    <row r="26" ht="28" customHeight="1">
      <c r="B26" s="49" t="inlineStr">
        <is>
          <t>$ millions</t>
        </is>
      </c>
      <c r="C26" s="50" t="inlineStr">
        <is>
          <t>FY2025</t>
        </is>
      </c>
      <c r="D26" s="50" t="inlineStr">
        <is>
          <t>FY2026</t>
        </is>
      </c>
      <c r="E26" s="50" t="inlineStr">
        <is>
          <t>Source</t>
        </is>
      </c>
    </row>
    <row r="27" ht="14.5" customHeight="1">
      <c r="B27" s="51" t="inlineStr">
        <is>
          <t>Sales</t>
        </is>
      </c>
      <c r="C27" s="52" t="n">
        <v>6703.8</v>
      </c>
      <c r="D27" s="52" t="n">
        <v>6813.6</v>
      </c>
      <c r="E27" s="51" t="inlineStr">
        <is>
          <t>Signet Jewelers Limited (2026b)</t>
        </is>
      </c>
    </row>
    <row r="28" ht="27" customHeight="1">
      <c r="B28" s="51" t="inlineStr">
        <is>
          <t>Cost of sales</t>
        </is>
      </c>
      <c r="C28" s="52" t="n">
        <v>-4078.2</v>
      </c>
      <c r="D28" s="52" t="n">
        <v>-4119</v>
      </c>
      <c r="E28" s="51" t="inlineStr">
        <is>
          <t>Signet Jewelers Limited (2026a, 2026b)</t>
        </is>
      </c>
    </row>
    <row r="29" ht="14.5" customHeight="1">
      <c r="B29" s="51" t="inlineStr">
        <is>
          <t>Gross margin</t>
        </is>
      </c>
      <c r="C29" s="51" t="inlineStr">
        <is>
          <t>2,625.6 (39.2%)</t>
        </is>
      </c>
      <c r="D29" s="51" t="inlineStr">
        <is>
          <t>2,694.6 (39.5%)</t>
        </is>
      </c>
      <c r="E29" s="51" t="inlineStr">
        <is>
          <t>Signet Jewelers Limited (2026a)</t>
        </is>
      </c>
    </row>
    <row r="30" ht="27" customHeight="1">
      <c r="B30" s="51" t="inlineStr">
        <is>
          <t>SG&amp;A</t>
        </is>
      </c>
      <c r="C30" s="51" t="inlineStr">
        <is>
          <t>(2,122.6) (31.7%)</t>
        </is>
      </c>
      <c r="D30" s="51" t="inlineStr">
        <is>
          <t>(2,173.2) (31.9%)</t>
        </is>
      </c>
      <c r="E30" s="51" t="inlineStr">
        <is>
          <t>Signet Jewelers Limited (2026a, 2026b)</t>
        </is>
      </c>
    </row>
    <row r="31" ht="27" customHeight="1">
      <c r="B31" s="51" t="inlineStr">
        <is>
          <t>Other operating income (expense), net</t>
        </is>
      </c>
      <c r="C31" s="51" t="inlineStr">
        <is>
          <t>n/r</t>
        </is>
      </c>
      <c r="D31" s="52" t="n">
        <v>-128.3</v>
      </c>
      <c r="E31" s="51" t="inlineStr">
        <is>
          <t>derived</t>
        </is>
      </c>
    </row>
    <row r="32" ht="14.5" customHeight="1">
      <c r="B32" s="51" t="inlineStr">
        <is>
          <t>Operating income</t>
        </is>
      </c>
      <c r="C32" s="51" t="inlineStr">
        <is>
          <t>110.7 (1.7%)</t>
        </is>
      </c>
      <c r="D32" s="51" t="inlineStr">
        <is>
          <t>393.1 (5.8%)</t>
        </is>
      </c>
      <c r="E32" s="51" t="inlineStr">
        <is>
          <t>Signet Jewelers Limited (2026b)</t>
        </is>
      </c>
    </row>
    <row r="33" ht="14.5" customHeight="1">
      <c r="B33" s="51" t="inlineStr">
        <is>
          <t>Interest income (expense), net</t>
        </is>
      </c>
      <c r="C33" s="52" t="n">
        <v>9.800000000000001</v>
      </c>
      <c r="D33" s="52" t="n">
        <v>4</v>
      </c>
      <c r="E33" s="51" t="inlineStr">
        <is>
          <t>Signet Jewelers Limited (2026b)</t>
        </is>
      </c>
    </row>
    <row r="34" ht="14.5" customHeight="1">
      <c r="B34" s="51" t="inlineStr">
        <is>
          <t>Other non-operating income, net</t>
        </is>
      </c>
      <c r="C34" s="52" t="n">
        <v>3.7</v>
      </c>
      <c r="D34" s="52" t="n">
        <v>1</v>
      </c>
      <c r="E34" s="51" t="inlineStr">
        <is>
          <t>Signet Jewelers Limited (2026b)</t>
        </is>
      </c>
    </row>
    <row r="35" ht="14.5" customHeight="1">
      <c r="B35" s="51" t="inlineStr">
        <is>
          <t>Income before income taxes</t>
        </is>
      </c>
      <c r="C35" s="52" t="n">
        <v>124.2</v>
      </c>
      <c r="D35" s="52" t="n">
        <v>398.1</v>
      </c>
      <c r="E35" s="51" t="inlineStr">
        <is>
          <t>Signet Jewelers Limited (2026b)</t>
        </is>
      </c>
    </row>
    <row r="36" ht="14.5" customHeight="1">
      <c r="B36" s="51" t="inlineStr">
        <is>
          <t>Income taxes</t>
        </is>
      </c>
      <c r="C36" s="52" t="n">
        <v>-63</v>
      </c>
      <c r="D36" s="52" t="n">
        <v>-103.7</v>
      </c>
      <c r="E36" s="51" t="inlineStr">
        <is>
          <t>Signet Jewelers Limited (2026b)</t>
        </is>
      </c>
    </row>
    <row r="37" ht="14.5" customHeight="1">
      <c r="B37" s="51" t="inlineStr">
        <is>
          <t>Effective tax rate</t>
        </is>
      </c>
      <c r="C37" s="53" t="n">
        <v>0.507</v>
      </c>
      <c r="D37" s="53" t="n">
        <v>0.26</v>
      </c>
      <c r="E37" s="51" t="inlineStr">
        <is>
          <t>Signet Jewelers Limited (2026b)</t>
        </is>
      </c>
    </row>
    <row r="38" ht="14.5" customHeight="1">
      <c r="B38" s="51" t="inlineStr">
        <is>
          <t>Net income</t>
        </is>
      </c>
      <c r="C38" s="52" t="n">
        <v>61.2</v>
      </c>
      <c r="D38" s="52" t="n">
        <v>294.4</v>
      </c>
      <c r="E38" s="51" t="inlineStr">
        <is>
          <t>Signet Jewelers Limited (2026b)</t>
        </is>
      </c>
    </row>
    <row r="39" ht="14.5" customHeight="1">
      <c r="B39" s="51" t="inlineStr">
        <is>
          <t>Diluted EPS (GAAP)</t>
        </is>
      </c>
      <c r="C39" s="51" t="inlineStr">
        <is>
          <t>n/r</t>
        </is>
      </c>
      <c r="D39" s="52" t="n">
        <v>7.08</v>
      </c>
      <c r="E39" s="51" t="inlineStr">
        <is>
          <t>Signet Jewelers Limited (2026b)</t>
        </is>
      </c>
    </row>
    <row r="40" ht="14.5" customHeight="1">
      <c r="B40" s="51" t="inlineStr">
        <is>
          <t>Adjusted diluted EPS</t>
        </is>
      </c>
      <c r="C40" s="51" t="inlineStr">
        <is>
          <t>n/r</t>
        </is>
      </c>
      <c r="D40" s="52" t="n">
        <v>9.6</v>
      </c>
      <c r="E40" s="51" t="inlineStr">
        <is>
          <t>Signet Jewelers Limited (2026b)</t>
        </is>
      </c>
    </row>
    <row r="42" ht="81" customHeight="1">
      <c r="B42" s="4" t="inlineStr">
        <is>
          <t>Fiscal 2024 net income was $810.4 million and diluted EPS $15.01, inflated by a $4.94 per share deferred-tax benefit from Bermuda's Corporate Income Tax Act 2023 (Signet Jewelers Limited, 2024). The implied Fiscal 2026 diluted share count is 41.6 million ($294.4 million / $7.08); the Fiscal 2027 guidance assumes roughly 38.8 million weighted diluted shares after buybacks (Signet Jewelers Limited, 2026c). The SG&amp;A increase in Fiscal 2026 was driven mainly by a reset of incentive compensation (Signet Jewelers Limited, 2026a). Operating cash flow was $678.8 million and capital expenditures $153.5 million (Signet Jewelers Limited, 2026b).</t>
        </is>
      </c>
    </row>
    <row r="43">
      <c r="A43" s="12" t="inlineStr">
        <is>
          <t>3. Balance sheet at January 31, 2026</t>
        </is>
      </c>
      <c r="B43" s="13" t="n"/>
      <c r="C43" s="13" t="n"/>
      <c r="D43" s="13" t="n"/>
      <c r="E43" s="13" t="n"/>
      <c r="F43" s="13" t="n"/>
      <c r="G43" s="13" t="n"/>
      <c r="H43" s="13" t="n"/>
    </row>
    <row r="44" ht="81" customHeight="1">
      <c r="B44" s="4" t="inlineStr">
        <is>
          <t>Cash and cash equivalents were $874.8 million (up from $604.0 million), inventories $1,940.1 million (flat year on year), operating-lease right-of-use assets $1,146.6 million and total assets $5,952.1 million; accounts payable were $772.1 million, accrued expenses and other current liabilities $387.3 million, non-current operating-lease liabilities $930.4 million and total liabilities $3,985.9 million, giving shareholders' equity of about $1,966.2 million (Signet Jewelers Limited, 2026a, 2026b). Signet carried no funded debt: the senior notes were repaid in Fiscal 2025 and the asset-based revolver is undrawn (Signet Jewelers Limited, 2026a; Jain et al., 2026).</t>
        </is>
      </c>
    </row>
    <row r="45">
      <c r="A45" s="12" t="inlineStr">
        <is>
          <t>4. Capital return (justification for "profits released")</t>
        </is>
      </c>
      <c r="B45" s="13" t="n"/>
      <c r="C45" s="13" t="n"/>
      <c r="D45" s="13" t="n"/>
      <c r="E45" s="13" t="n"/>
      <c r="F45" s="13" t="n"/>
      <c r="G45" s="13" t="n"/>
      <c r="H45" s="13" t="n"/>
    </row>
    <row r="46" ht="28" customHeight="1">
      <c r="B46" s="49" t="inlineStr">
        <is>
          <t>$ millions</t>
        </is>
      </c>
      <c r="C46" s="50" t="inlineStr">
        <is>
          <t>FY2024</t>
        </is>
      </c>
      <c r="D46" s="50" t="inlineStr">
        <is>
          <t>FY2025</t>
        </is>
      </c>
      <c r="E46" s="50" t="inlineStr">
        <is>
          <t>FY2026</t>
        </is>
      </c>
      <c r="F46" s="50" t="inlineStr">
        <is>
          <t>H1 FY2027</t>
        </is>
      </c>
    </row>
    <row r="47" ht="14.5" customHeight="1">
      <c r="B47" s="51" t="inlineStr">
        <is>
          <t>Common share repurchases</t>
        </is>
      </c>
      <c r="C47" s="52" t="n">
        <v>139.3</v>
      </c>
      <c r="D47" s="52" t="n">
        <v>138</v>
      </c>
      <c r="E47" s="52" t="n">
        <v>205.2</v>
      </c>
      <c r="F47" s="52" t="n">
        <v>169.9</v>
      </c>
    </row>
    <row r="48" ht="14.5" customHeight="1">
      <c r="B48" s="51" t="inlineStr">
        <is>
          <t>Preferred share repurchase</t>
        </is>
      </c>
      <c r="C48" s="51" t="inlineStr">
        <is>
          <t>–</t>
        </is>
      </c>
      <c r="D48" s="52" t="n">
        <v>813.8</v>
      </c>
      <c r="E48" s="51" t="inlineStr">
        <is>
          <t>–</t>
        </is>
      </c>
      <c r="F48" s="51" t="inlineStr">
        <is>
          <t>–</t>
        </is>
      </c>
    </row>
    <row r="49" ht="14.5" customHeight="1">
      <c r="B49" s="51" t="inlineStr">
        <is>
          <t>Common dividends paid</t>
        </is>
      </c>
      <c r="C49" s="51" t="inlineStr">
        <is>
          <t>41.1 (declared)</t>
        </is>
      </c>
      <c r="D49" s="52" t="n">
        <v>48.6</v>
      </c>
      <c r="E49" s="52" t="n">
        <v>51.9</v>
      </c>
      <c r="F49" s="52" t="n">
        <v>26.8</v>
      </c>
    </row>
    <row r="50" ht="14.5" customHeight="1">
      <c r="B50" s="51" t="inlineStr">
        <is>
          <t>Preferred dividends paid</t>
        </is>
      </c>
      <c r="C50" s="51" t="inlineStr">
        <is>
          <t>n/r</t>
        </is>
      </c>
      <c r="D50" s="52" t="n">
        <v>18.5</v>
      </c>
      <c r="E50" s="51" t="inlineStr">
        <is>
          <t>–</t>
        </is>
      </c>
      <c r="F50" s="51" t="inlineStr">
        <is>
          <t>–</t>
        </is>
      </c>
    </row>
    <row r="51" ht="14.5" customHeight="1">
      <c r="B51" s="51" t="inlineStr">
        <is>
          <t>Net income</t>
        </is>
      </c>
      <c r="C51" s="52" t="n">
        <v>810.4</v>
      </c>
      <c r="D51" s="52" t="n">
        <v>61.2</v>
      </c>
      <c r="E51" s="52" t="n">
        <v>294.4</v>
      </c>
      <c r="F51" s="51" t="inlineStr">
        <is>
          <t>approx. 84</t>
        </is>
      </c>
    </row>
    <row r="52" ht="14.5" customHeight="1">
      <c r="B52" s="51" t="inlineStr">
        <is>
          <t>Common distributions / net income</t>
        </is>
      </c>
      <c r="C52" s="52" t="n">
        <v>0.22</v>
      </c>
      <c r="D52" s="52" t="n">
        <v>3.05</v>
      </c>
      <c r="E52" s="52" t="n">
        <v>0.87</v>
      </c>
      <c r="F52" s="51" t="inlineStr">
        <is>
          <t>approx. 2.3</t>
        </is>
      </c>
    </row>
    <row r="54" ht="94.5" customHeight="1">
      <c r="B54" s="4" t="inlineStr">
        <is>
          <t>Sources: Signet Jewelers Limited (2025a, 2026a, 2026b, 2026d). Dividends declared per common share rose from $0.92 (FY2024) to $1.16 (FY2025) and $1.28 (FY2026), and the Fiscal 2027 quarterly dividend is $0.35 (Signet Jewelers Limited, 2026a, 2026b). Remaining repurchase authorization was $517.9 million at January 31, 2026, and a $125 million accelerated share repurchase was announced with the second-quarter results (Signet Jewelers Limited, 2026a, 2026c). Excluding the Fiscal 2024 one-off tax benefit and the Fiscal 2025 impairments, common dividends plus buybacks have run at roughly 85% to 110% of underlying earnings, which supports the Session 5 observation that "dividends + share repurchases have approximately equaled earnings in recent years" and the choice of the profits-released valuation approach.</t>
        </is>
      </c>
    </row>
    <row r="55">
      <c r="A55" s="12" t="inlineStr">
        <is>
          <t>5. Operating KPIs</t>
        </is>
      </c>
      <c r="B55" s="13" t="n"/>
      <c r="C55" s="13" t="n"/>
      <c r="D55" s="13" t="n"/>
      <c r="E55" s="13" t="n"/>
      <c r="F55" s="13" t="n"/>
      <c r="G55" s="13" t="n"/>
      <c r="H55" s="13" t="n"/>
    </row>
    <row r="56" ht="94.5" customHeight="1">
      <c r="B56" s="4" t="inlineStr">
        <is>
          <t>Same-store sales rose 1.3% in Fiscal 2026 (North America +1.2%, International +2.6%) and 2.2% in the second quarter of Fiscal 2027 (Signet Jewelers Limited, 2026b, 2026c). E-commerce was 21.8% of total sales (Signet Jewelers Limited, 2026f). Sales by category in Fiscal 2026 were bridal $2,863.6 million, fashion $2,630.5 million, watches $350.4 million, services $803.5 million (+7.8%, driven by extended service plans) and other $165.6 million (Signet Jewelers Limited, 2026a). A filing summary puts lab-grown diamond products at about 27% of merchandise sales; this should be verified against Item 1 of the 10-K. Signet's five largest suppliers accounted for about 22% of purchases, the largest about 6%, with diamond cutting and jewelry manufacturing predominantly in Asia (Columbia University Capstone, Session 5, slide 14).</t>
        </is>
      </c>
    </row>
    <row r="57" ht="81" customHeight="1">
      <c r="B57" s="4" t="inlineStr">
        <is>
          <t>Tariffs and credit. The IEEPA tariffs were invalidated in February 2026; Signet had received about $20 million of refunds by the end of the second quarter of Fiscal 2027 and expects about $30 million for the year, while stating that tariffs remain a net headwind and that no further refunds or new tariffs are forecast (Signet Jewelers Limited, 2026d; CNBC, 2026). A new consumer-credit agreement with Bread Financial is expected to add $30 million to $40 million of non-comp revenue and gross-margin benefit in Fiscal 2027 (Signet Jewelers Limited, 2026c; CNBC, 2026). Higher gold costs pressured unit demand at lower price points (CNBC, 2026).</t>
        </is>
      </c>
    </row>
    <row r="58">
      <c r="A58" s="12" t="inlineStr">
        <is>
          <t>6. Management outlook (Fiscal 2027 guidance)</t>
        </is>
      </c>
      <c r="B58" s="13" t="n"/>
      <c r="C58" s="13" t="n"/>
      <c r="D58" s="13" t="n"/>
      <c r="E58" s="13" t="n"/>
      <c r="F58" s="13" t="n"/>
      <c r="G58" s="13" t="n"/>
      <c r="H58" s="13" t="n"/>
    </row>
    <row r="59" ht="28" customHeight="1">
      <c r="B59" s="49" t="inlineStr">
        <is>
          <t>Item</t>
        </is>
      </c>
      <c r="C59" s="50" t="inlineStr">
        <is>
          <t>Original (Mar 2026)</t>
        </is>
      </c>
      <c r="D59" s="50" t="inlineStr">
        <is>
          <t>After Q1 (Jun 2026)</t>
        </is>
      </c>
      <c r="E59" s="50" t="inlineStr">
        <is>
          <t>After Q2 (Sep 2026)</t>
        </is>
      </c>
    </row>
    <row r="60" ht="14.5" customHeight="1">
      <c r="B60" s="51" t="inlineStr">
        <is>
          <t>Total sales</t>
        </is>
      </c>
      <c r="C60" s="51" t="inlineStr">
        <is>
          <t>$6.6–6.9 billion</t>
        </is>
      </c>
      <c r="D60" s="51" t="inlineStr">
        <is>
          <t>$6.7–6.9 billion</t>
        </is>
      </c>
      <c r="E60" s="51" t="inlineStr">
        <is>
          <t>$6.7–6.9 billion</t>
        </is>
      </c>
    </row>
    <row r="61" ht="14.5" customHeight="1">
      <c r="B61" s="51" t="inlineStr">
        <is>
          <t>Same-store sales</t>
        </is>
      </c>
      <c r="C61" s="51" t="inlineStr">
        <is>
          <t>(1.25%)–2.5%</t>
        </is>
      </c>
      <c r="D61" s="51" t="inlineStr">
        <is>
          <t>(0.75%)–2.5%</t>
        </is>
      </c>
      <c r="E61" s="51" t="inlineStr">
        <is>
          <t>Flat–2.5%</t>
        </is>
      </c>
    </row>
    <row r="62" ht="14.5" customHeight="1">
      <c r="B62" s="51" t="inlineStr">
        <is>
          <t>Adjusted operating income</t>
        </is>
      </c>
      <c r="C62" s="51" t="inlineStr">
        <is>
          <t>n/r</t>
        </is>
      </c>
      <c r="D62" s="51" t="inlineStr">
        <is>
          <t>$480–560 million</t>
        </is>
      </c>
      <c r="E62" s="51" t="inlineStr">
        <is>
          <t>$535–605 million</t>
        </is>
      </c>
    </row>
    <row r="63" ht="14.5" customHeight="1">
      <c r="B63" s="51" t="inlineStr">
        <is>
          <t>Adjusted EBITDA</t>
        </is>
      </c>
      <c r="C63" s="51" t="inlineStr">
        <is>
          <t>n/r</t>
        </is>
      </c>
      <c r="D63" s="51" t="inlineStr">
        <is>
          <t>$665–745 million</t>
        </is>
      </c>
      <c r="E63" s="51" t="inlineStr">
        <is>
          <t>$730–800 million</t>
        </is>
      </c>
    </row>
    <row r="64" ht="14.5" customHeight="1">
      <c r="B64" s="51" t="inlineStr">
        <is>
          <t>Adjusted diluted EPS</t>
        </is>
      </c>
      <c r="C64" s="51" t="inlineStr">
        <is>
          <t>$8.80–10.74</t>
        </is>
      </c>
      <c r="D64" s="51" t="inlineStr">
        <is>
          <t>$9.20–11.00</t>
        </is>
      </c>
      <c r="E64" s="51" t="inlineStr">
        <is>
          <t>$10.45–12.15</t>
        </is>
      </c>
    </row>
    <row r="65" ht="14.5" customHeight="1">
      <c r="B65" s="51" t="inlineStr">
        <is>
          <t>Tax rate (ex discrete items)</t>
        </is>
      </c>
      <c r="C65" s="51" t="inlineStr"/>
      <c r="D65" s="51" t="inlineStr"/>
      <c r="E65" s="51" t="inlineStr">
        <is>
          <t>23–25%</t>
        </is>
      </c>
    </row>
    <row r="66" ht="14.5" customHeight="1">
      <c r="B66" s="51" t="inlineStr">
        <is>
          <t>Weighted diluted shares</t>
        </is>
      </c>
      <c r="C66" s="51" t="inlineStr"/>
      <c r="D66" s="51" t="inlineStr"/>
      <c r="E66" s="51" t="inlineStr">
        <is>
          <t>approx. 38.8 million</t>
        </is>
      </c>
    </row>
    <row r="67" ht="14.5" customHeight="1">
      <c r="B67" s="51" t="inlineStr">
        <is>
          <t>Net selling square footage</t>
        </is>
      </c>
      <c r="C67" s="51" t="inlineStr"/>
      <c r="D67" s="51" t="inlineStr">
        <is>
          <t>low-single-digit decline</t>
        </is>
      </c>
      <c r="E67" s="51" t="inlineStr">
        <is>
          <t>low-single-digit decline</t>
        </is>
      </c>
    </row>
    <row r="69" ht="40.5" customHeight="1">
      <c r="B69" s="4" t="inlineStr">
        <is>
          <t>Sources: Signet Jewelers Limited (2026b, 2026c, 2026e). Consensus estimates are revenue of about $6.84 billion (FY2027) and $6.95 billion (FY2028) and diluted EPS of $10.76 (FY2027), $12.27 (FY2028) and $13.14 (FY2029) (Yahoo Finance, 2026; WallStreetZen, 2026).</t>
        </is>
      </c>
    </row>
    <row r="70">
      <c r="A70" s="12" t="inlineStr">
        <is>
          <t>7. Market data and cost of equity</t>
        </is>
      </c>
      <c r="B70" s="13" t="n"/>
      <c r="C70" s="13" t="n"/>
      <c r="D70" s="13" t="n"/>
      <c r="E70" s="13" t="n"/>
      <c r="F70" s="13" t="n"/>
      <c r="G70" s="13" t="n"/>
      <c r="H70" s="13" t="n"/>
    </row>
    <row r="71" ht="67.5" customHeight="1">
      <c r="B71" s="4" t="inlineStr">
        <is>
          <t>SIG closed at $105.22 on October 9, 2026 (Yahoo Finance, 2026). Share-count sources disagree (38.32 million per MarketBeat, 2026; 37.29 million per Google Finance, 2026); the model uses 37.5 million, giving a market capitalization of about $3.95 billion, consistent with the $3.75–3.92 billion range aggregators showed a week earlier (StockAnalysis, 2026; The Motley Fool, 2026). Trailing P/E was 11.8x and reported betas range from 1.10 (MarketBeat, 2026) and 1.12 (Google Finance, 2026) to 1.44 (The Motley Fool, 2026); consensus 12-month price targets are $110.64–125.56 (MarketBeat, 2026; WallStreetZen, 2026).</t>
        </is>
      </c>
    </row>
    <row r="72" ht="94.5" customHeight="1">
      <c r="B72" s="4" t="inlineStr">
        <is>
          <t>The 10-year Treasury constant-maturity yield was 5.24% on October 9, 2026 after touching 5.31% on October 5, the highest since 2002 (Board of Governors of the Federal Reserve System, 2026a); the federal funds target range is 3.75–4.00% (Board of Governors of the Federal Reserve System, 2026b). Damodaran's implied equity risk premium was 4.20% on October 1, 2026 (Damodaran, 2026). CAPM with a 1.25 beta (midpoint of the reported range) gives a cost of equity of 5.24% + 1.25 × 4.20% = 10.5%. No published sell-side WACC was retrievable; the 10.5% North America rate sits inside the 9–12% band typically used for specialty retailers, and International carries a 1.5-point premium (12.0%) for its smaller scale, weaker UK demand and currency exposure.</t>
        </is>
      </c>
    </row>
    <row r="73">
      <c r="A73" s="12" t="inlineStr">
        <is>
          <t>8. Macro</t>
        </is>
      </c>
      <c r="B73" s="13" t="n"/>
      <c r="C73" s="13" t="n"/>
      <c r="D73" s="13" t="n"/>
      <c r="E73" s="13" t="n"/>
      <c r="F73" s="13" t="n"/>
      <c r="G73" s="13" t="n"/>
      <c r="H73" s="13" t="n"/>
    </row>
    <row r="74" ht="108" customHeight="1">
      <c r="B74" s="4" t="inlineStr">
        <is>
          <t>The FOMC's September 2026 median projections are real GDP growth of 2.3% (2026), 2.4% (2027) and 2.2% (2028) with PCE inflation of 3.7%, 2.3% and 2.1% (Board of Governors of the Federal Reserve System, 2026b). The Bank of Canada projects growth of 0.7% in 2026 and 1.8% in 2027 and 2028, with CPI inflation of 2.5% and 2.0% (Bank of Canada, 2026). The IMF's January 2026 update has UK growth of 1.3% and 1.5% (International Monetary Fund, 2026a); secondary coverage of the Bank of England's 2026 reports puts UK CPI near 3% in early 2027, falling toward 1.7–2% by 2028 (Vanguard, 2026). Irish modified domestic demand is projected to grow about 2.5% a year in 2026–27 (International Monetary Fund, 2026b; European Commission, 2026). These support a 2.0–2.5% nominal growth anchor for North America store productivity and a 2.0% anchor for the UK and Ireland, with fixed-cost inflation of 2.5% trending to 2.0% in North America and 3.0% trending to 2.0% in International.</t>
        </is>
      </c>
    </row>
    <row r="75">
      <c r="A75" s="12" t="inlineStr">
        <is>
          <t>References</t>
        </is>
      </c>
      <c r="B75" s="13" t="n"/>
      <c r="C75" s="13" t="n"/>
      <c r="D75" s="13" t="n"/>
      <c r="E75" s="13" t="n"/>
      <c r="F75" s="13" t="n"/>
      <c r="G75" s="13" t="n"/>
      <c r="H75" s="13" t="n"/>
    </row>
    <row r="76" ht="27" customHeight="1">
      <c r="B76" s="4" t="inlineStr">
        <is>
          <t>Bank of Canada. (2026, July 15). *Monetary policy report: July 2026*. https://www.bankofcanada.ca/publications/mpr/mpr-2026-07-15/projections/</t>
        </is>
      </c>
    </row>
    <row r="77" ht="27" customHeight="1">
      <c r="B77" s="4" t="inlineStr">
        <is>
          <t>Board of Governors of the Federal Reserve System. (2026a, October 9). *H.15 selected interest rates (daily)*. https://www.federalreserve.gov/releases/h15/</t>
        </is>
      </c>
    </row>
    <row r="78" ht="27" customHeight="1">
      <c r="B78" s="4" t="inlineStr">
        <is>
          <t>Board of Governors of the Federal Reserve System. (2026b, September 16). *Summary of economic projections*. https://www.federalreserve.gov/monetarypolicy/fomcprojtabl20260916.htm</t>
        </is>
      </c>
    </row>
    <row r="79" ht="27" customHeight="1">
      <c r="B79" s="4" t="inlineStr">
        <is>
          <t>CNBC. (2026, September 9). *Signet shares soar as jeweler lifts annual profit forecast*. https://www.cnbc.com/2026/09/09/signet-shares-soar-as-jeweler-lifts-annual-profit-forecast.html</t>
        </is>
      </c>
    </row>
    <row r="80" ht="14.5" customHeight="1">
      <c r="B80" s="4" t="inlineStr">
        <is>
          <t>Columbia University Capstone. (2026a). *Capstone Fall 2026, Session 5* [Lecture slides]. ERMC PS5900, Columbia University.</t>
        </is>
      </c>
    </row>
    <row r="81" ht="14.5" customHeight="1">
      <c r="B81" s="4" t="inlineStr">
        <is>
          <t>Columbia University Capstone. (2026b). *Capstone Fall 2026, Session 6* [Lecture slides]. ERMC PS5900, Columbia University.</t>
        </is>
      </c>
    </row>
    <row r="82" ht="27" customHeight="1">
      <c r="B82" s="4" t="inlineStr">
        <is>
          <t>Damodaran, A. (2026). *Implied equity risk premium update, October 1, 2026*. NYU Stern School of Business. https://pages.stern.nyu.edu/~adamodar/New_Home_Page/home.htm</t>
        </is>
      </c>
    </row>
    <row r="83" ht="27" customHeight="1">
      <c r="B83" s="4" t="inlineStr">
        <is>
          <t>European Commission. (2026, May). *Economic forecast for Ireland (Spring 2026)*. https://economy-finance.ec.europa.eu/economic-surveillance-eu-member-states/country-pages-including-country-reports/ireland/economic-forecast-ireland_en</t>
        </is>
      </c>
    </row>
    <row r="84" ht="14.5" customHeight="1">
      <c r="B84" s="4" t="inlineStr">
        <is>
          <t>Google Finance. (2026). *Signet Jewelers Ltd (SIG) stock price and news*. https://www.google.com/finance/quote/SIG:NYSE</t>
        </is>
      </c>
    </row>
    <row r="85" ht="14.5" customHeight="1">
      <c r="B85" s="4" t="inlineStr">
        <is>
          <t>International Monetary Fund. (2026a, January). *World economic outlook update*. https://www.imf.org/en/Publications/WEO</t>
        </is>
      </c>
    </row>
    <row r="86" ht="40.5" customHeight="1">
      <c r="B86" s="4" t="inlineStr">
        <is>
          <t>International Monetary Fund. (2026b, June 29). *IMF Executive Board concludes 2026 Article IV consultation with Ireland* (Press Release No. 26/225). https://www.imf.org/en/news/articles/2026/06/29/pr26225-ireland-imf-executive-board-concludes-2026-article-iv-consultation</t>
        </is>
      </c>
    </row>
    <row r="87" ht="27" customHeight="1">
      <c r="B87" s="4" t="inlineStr">
        <is>
          <t>Jain, M., Razzaque, Z., Weng, S., Chamsi Bacha, J., &amp; Chan, A. (2026). *Signet Jewelers Limited: Enterprise risk management program review* (Case Assignment #2) [Unpublished course paper]. Columbia University.</t>
        </is>
      </c>
    </row>
    <row r="88" ht="14.5" customHeight="1">
      <c r="B88" s="4" t="inlineStr">
        <is>
          <t>MarketBeat. (2026). *Signet Jewelers (SIG) stock price, news and analysis*. https://www.marketbeat.com/stocks/NYSE/SIG/</t>
        </is>
      </c>
    </row>
    <row r="89" ht="14.5" customHeight="1">
      <c r="B89" s="4" t="inlineStr">
        <is>
          <t>Segal, S. (2011). *Corporate value of enterprise risk management: The next step in business management*. John Wiley &amp; Sons.</t>
        </is>
      </c>
    </row>
    <row r="90" ht="27" customHeight="1">
      <c r="B90" s="4" t="inlineStr">
        <is>
          <t>Signet Jewelers Limited. (2024). *Annual report on Form 10-K for the fiscal year ended February 3, 2024*. U.S. Securities and Exchange Commission. https://www.sec.gov/Archives/edgar/data/832988/000083298824000083/sig-20240203.htm</t>
        </is>
      </c>
    </row>
    <row r="91" ht="27" customHeight="1">
      <c r="B91" s="4" t="inlineStr">
        <is>
          <t>Signet Jewelers Limited. (2025a). *Annual report on Form 10-K for the fiscal year ended February 1, 2025*. U.S. Securities and Exchange Commission. https://www.sec.gov/Archives/edgar/data/832988/000083298825000018/sig-20250201.htm</t>
        </is>
      </c>
    </row>
    <row r="92" ht="27" customHeight="1">
      <c r="B92" s="4" t="inlineStr">
        <is>
          <t>Signet Jewelers Limited. (2025b, March 19). *Signet Jewelers reports fourth quarter and Fiscal 2025 results* [Press release]. Business Wire. https://www.businesswire.com/news/home/20250319542686/en/</t>
        </is>
      </c>
    </row>
    <row r="93" ht="27" customHeight="1">
      <c r="B93" s="4" t="inlineStr">
        <is>
          <t>Signet Jewelers Limited. (2026a). *Annual report on Form 10-K for the fiscal year ended January 31, 2026*. U.S. Securities and Exchange Commission. https://www.sec.gov/Archives/edgar/data/832988/000083298826000055/sig-20260131.htm</t>
        </is>
      </c>
    </row>
    <row r="94" ht="40.5" customHeight="1">
      <c r="B94" s="4" t="inlineStr">
        <is>
          <t>Signet Jewelers Limited. (2026b, March 19). *Signet Jewelers reports fourth quarter and full year Fiscal 2026 results* [Press release; Form 8-K Exhibit 99.1]. U.S. Securities and Exchange Commission. https://www.sec.gov/Archives/edgar/data/832988/000083298826000054/fy27ex9913x19x26pressrelea.htm</t>
        </is>
      </c>
    </row>
    <row r="95" ht="40.5" customHeight="1">
      <c r="B95" s="4" t="inlineStr">
        <is>
          <t>Signet Jewelers Limited. (2026c, September 9). *Signet Jewelers reports second quarter Fiscal 2027 results* [Press release; Form 8-K Exhibit 99.1]. U.S. Securities and Exchange Commission. https://www.sec.gov/Archives/edgar/data/0000832988/000083298826000227/fy27ex99109x09x26pressrele.htm</t>
        </is>
      </c>
    </row>
    <row r="96" ht="27" customHeight="1">
      <c r="B96" s="4" t="inlineStr">
        <is>
          <t>Signet Jewelers Limited. (2026d). *Quarterly report on Form 10-Q for the quarterly period ended August 1, 2026*. U.S. Securities and Exchange Commission. https://www.sec.gov/Archives/edgar/data/0000832988/000083298826000229/sig-20260801.htm</t>
        </is>
      </c>
    </row>
    <row r="97" ht="27" customHeight="1">
      <c r="B97" s="4" t="inlineStr">
        <is>
          <t>Signet Jewelers Limited. (2026e). *Quarterly report on Form 10-Q for the quarterly period ended May 2, 2026*. U.S. Securities and Exchange Commission. https://www.sec.gov/Archives/edgar/data/0000832988/000083298826000159/sig-20260502.htm</t>
        </is>
      </c>
    </row>
    <row r="98" ht="27" customHeight="1">
      <c r="B98" s="4" t="inlineStr">
        <is>
          <t>Signet Jewelers Limited. (2026f). *Fiscal 2026 annual report*. https://s26.q4cdn.com/755441662/files/doc_financials/annual/SIG-fy26-AR.pdf</t>
        </is>
      </c>
    </row>
    <row r="99" ht="14.5" customHeight="1">
      <c r="B99" s="4" t="inlineStr">
        <is>
          <t>StockAnalysis. (2026). *Signet Jewelers (SIG) statistics and valuation*. https://stockanalysis.com/stocks/sig/statistics/</t>
        </is>
      </c>
    </row>
    <row r="100" ht="14.5" customHeight="1">
      <c r="B100" s="4" t="inlineStr">
        <is>
          <t>The Motley Fool. (2026). *Signet Jewelers (SIG) stock price and news*. https://www.fool.com/quote/nyse/sig/</t>
        </is>
      </c>
    </row>
    <row r="101" ht="27" customHeight="1">
      <c r="B101" s="4" t="inlineStr">
        <is>
          <t>Vanguard. (2026, August 11). *Vanguard economic and market outlook: United Kingdom*. https://externalcrewnet.vanguard.com/content/corporatesite/us/en/corp/vemo/vemo-united-kingdom.html</t>
        </is>
      </c>
    </row>
    <row r="102" ht="27" customHeight="1">
      <c r="B102" s="4" t="inlineStr">
        <is>
          <t>WallStreetZen. (2026). *Signet Jewelers stock forecast and predictions*. https://www.wallstreetzen.com/stocks/us/nyse/sig/stock-forecast</t>
        </is>
      </c>
    </row>
    <row r="103" ht="27" customHeight="1">
      <c r="B103" s="4" t="inlineStr">
        <is>
          <t>Yahoo Finance. (2026). *Signet Jewelers Limited (SIG) analysis and historical quotes*. https://finance.yahoo.com/quote/SIG/analysis/</t>
        </is>
      </c>
    </row>
  </sheetData>
  <mergeCells count="44">
    <mergeCell ref="B99:H99"/>
    <mergeCell ref="B84:H84"/>
    <mergeCell ref="B74:H74"/>
    <mergeCell ref="B83:H83"/>
    <mergeCell ref="B92:H92"/>
    <mergeCell ref="B6:H6"/>
    <mergeCell ref="B24:H24"/>
    <mergeCell ref="B95:H95"/>
    <mergeCell ref="B5:H5"/>
    <mergeCell ref="B80:H80"/>
    <mergeCell ref="B76:H76"/>
    <mergeCell ref="B89:H89"/>
    <mergeCell ref="B85:H85"/>
    <mergeCell ref="B94:H94"/>
    <mergeCell ref="B79:H79"/>
    <mergeCell ref="B97:H97"/>
    <mergeCell ref="B91:H91"/>
    <mergeCell ref="B54:H54"/>
    <mergeCell ref="B100:H100"/>
    <mergeCell ref="B72:H72"/>
    <mergeCell ref="B90:H90"/>
    <mergeCell ref="B3:H3"/>
    <mergeCell ref="B81:H81"/>
    <mergeCell ref="B22:H22"/>
    <mergeCell ref="B93:H93"/>
    <mergeCell ref="B56:H56"/>
    <mergeCell ref="B71:H71"/>
    <mergeCell ref="B96:H96"/>
    <mergeCell ref="B102:H102"/>
    <mergeCell ref="B77:H77"/>
    <mergeCell ref="B86:H86"/>
    <mergeCell ref="B42:H42"/>
    <mergeCell ref="B98:H98"/>
    <mergeCell ref="B23:H23"/>
    <mergeCell ref="B101:H101"/>
    <mergeCell ref="B8:H8"/>
    <mergeCell ref="B57:H57"/>
    <mergeCell ref="B88:H88"/>
    <mergeCell ref="B44:H44"/>
    <mergeCell ref="B82:H82"/>
    <mergeCell ref="B69:H69"/>
    <mergeCell ref="B87:H87"/>
    <mergeCell ref="B78:H78"/>
    <mergeCell ref="B103:H103"/>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L198"/>
  <sheetViews>
    <sheetView workbookViewId="0">
      <selection activeCell="A1" sqref="A1"/>
    </sheetView>
  </sheetViews>
  <sheetFormatPr baseColWidth="8" defaultRowHeight="15"/>
  <cols>
    <col width="3" customWidth="1" min="1" max="1"/>
    <col width="40" customWidth="1" min="2" max="2"/>
    <col width="22" customWidth="1" min="3" max="3"/>
    <col width="15" customWidth="1" min="4" max="4"/>
    <col width="15" customWidth="1" min="5" max="5"/>
    <col width="15" customWidth="1" min="6" max="6"/>
    <col width="15" customWidth="1" min="7" max="7"/>
    <col width="46" customWidth="1" min="8" max="8"/>
    <col width="46" customWidth="1" min="9" max="9"/>
    <col width="46" customWidth="1" min="10" max="10"/>
    <col width="46" customWidth="1" min="11" max="11"/>
    <col width="46" customWidth="1" min="12" max="12"/>
  </cols>
  <sheetData>
    <row r="1">
      <c r="B1" s="1" t="inlineStr">
        <is>
          <t>Appendix D - Extracted data (one table per file in data/; confidence: A verbatim from primary excerpt, B re-publication/summary, C derived, D team estimate)</t>
        </is>
      </c>
    </row>
    <row r="3">
      <c r="A3" s="12" t="inlineStr">
        <is>
          <t>model_calibration_fy2026.csv</t>
        </is>
      </c>
      <c r="B3" s="13" t="n"/>
      <c r="C3" s="13" t="n"/>
      <c r="D3" s="13" t="n"/>
      <c r="E3" s="13" t="n"/>
      <c r="F3" s="13" t="n"/>
      <c r="G3" s="13" t="n"/>
      <c r="H3" s="13" t="n"/>
      <c r="I3" s="13" t="n"/>
      <c r="J3" s="13" t="n"/>
      <c r="K3" s="13" t="n"/>
      <c r="L3" s="13" t="n"/>
    </row>
    <row r="4" ht="28" customHeight="1">
      <c r="B4" s="54" t="inlineStr">
        <is>
          <t>line_item</t>
        </is>
      </c>
      <c r="C4" s="54" t="inlineStr">
        <is>
          <t>north_america</t>
        </is>
      </c>
      <c r="D4" s="54" t="inlineStr">
        <is>
          <t>international</t>
        </is>
      </c>
      <c r="E4" s="54" t="inlineStr">
        <is>
          <t>other_corporate</t>
        </is>
      </c>
      <c r="F4" s="54" t="inlineStr">
        <is>
          <t>total</t>
        </is>
      </c>
      <c r="G4" s="54" t="inlineStr">
        <is>
          <t>reported_total</t>
        </is>
      </c>
      <c r="H4" s="54" t="inlineStr">
        <is>
          <t>basis</t>
        </is>
      </c>
      <c r="I4" s="54" t="inlineStr">
        <is>
          <t>confidence</t>
        </is>
      </c>
    </row>
    <row r="5" ht="27" customHeight="1">
      <c r="B5" s="51" t="inlineStr">
        <is>
          <t>Store merchandise sales</t>
        </is>
      </c>
      <c r="C5" s="52" t="n">
        <v>4179.8</v>
      </c>
      <c r="D5" s="52" t="n">
        <v>307.8</v>
      </c>
      <c r="E5" s="52" t="n">
        <v>0</v>
      </c>
      <c r="F5" s="52" t="n">
        <v>4487.6</v>
      </c>
      <c r="G5" s="51" t="inlineStr"/>
      <c r="H5" s="51" t="inlineStr">
        <is>
          <t xml:space="preserve"> = merchandise sales less e-commerce; merchandise = segment sales less services</t>
        </is>
      </c>
      <c r="I5" s="51" t="inlineStr">
        <is>
          <t>D</t>
        </is>
      </c>
    </row>
    <row r="6" ht="40.5" customHeight="1">
      <c r="B6" s="51" t="inlineStr">
        <is>
          <t>E-commerce merchandise sales</t>
        </is>
      </c>
      <c r="C6" s="52" t="n">
        <v>1423.8</v>
      </c>
      <c r="D6" s="52" t="n">
        <v>61.6</v>
      </c>
      <c r="E6" s="52" t="n">
        <v>0</v>
      </c>
      <c r="F6" s="52" t="n">
        <v>1485.4</v>
      </c>
      <c r="G6" s="52" t="n">
        <v>1485.4</v>
      </c>
      <c r="H6" s="51" t="inlineStr">
        <is>
          <t>21.8% of consolidated sales (SIGAR26); International share assumed 15% of its sales, remainder to North America</t>
        </is>
      </c>
      <c r="I6" s="51" t="inlineStr">
        <is>
          <t>D</t>
        </is>
      </c>
    </row>
    <row r="7" ht="40.5" customHeight="1">
      <c r="B7" s="51" t="inlineStr">
        <is>
          <t>Services revenue</t>
        </is>
      </c>
      <c r="C7" s="52" t="n">
        <v>760</v>
      </c>
      <c r="D7" s="52" t="n">
        <v>41</v>
      </c>
      <c r="E7" s="52" t="n">
        <v>0</v>
      </c>
      <c r="F7" s="52" t="n">
        <v>801</v>
      </c>
      <c r="G7" s="52" t="n">
        <v>803.5</v>
      </c>
      <c r="H7" s="51" t="inlineStr">
        <is>
          <t>services 803.5 consolidated (SIG10K26) less approx. 2.5 assumed inside Other; International attach assumed 11.1% of merchandise</t>
        </is>
      </c>
      <c r="I7" s="51" t="inlineStr">
        <is>
          <t>D</t>
        </is>
      </c>
    </row>
    <row r="8" ht="27" customHeight="1">
      <c r="B8" s="51" t="inlineStr">
        <is>
          <t>Other (non-retail) revenue</t>
        </is>
      </c>
      <c r="C8" s="52" t="n">
        <v>0</v>
      </c>
      <c r="D8" s="52" t="n">
        <v>0</v>
      </c>
      <c r="E8" s="52" t="n">
        <v>39.6</v>
      </c>
      <c r="F8" s="52" t="n">
        <v>39.6</v>
      </c>
      <c r="G8" s="52" t="n">
        <v>39.6</v>
      </c>
      <c r="H8" s="51" t="inlineStr">
        <is>
          <t>Other reportable segment sales (diamond sourcing)</t>
        </is>
      </c>
      <c r="I8" s="51" t="inlineStr">
        <is>
          <t>A</t>
        </is>
      </c>
    </row>
    <row r="9" ht="14.5" customHeight="1">
      <c r="B9" s="51" t="inlineStr">
        <is>
          <t>Total sales</t>
        </is>
      </c>
      <c r="C9" s="52" t="n">
        <v>6363.6</v>
      </c>
      <c r="D9" s="52" t="n">
        <v>410.4</v>
      </c>
      <c r="E9" s="52" t="n">
        <v>39.6</v>
      </c>
      <c r="F9" s="52" t="n">
        <v>6813.6</v>
      </c>
      <c r="G9" s="52" t="n">
        <v>6813.6</v>
      </c>
      <c r="H9" s="51" t="inlineStr">
        <is>
          <t>reported segment sales</t>
        </is>
      </c>
      <c r="I9" s="51" t="inlineStr">
        <is>
          <t>A/C</t>
        </is>
      </c>
    </row>
    <row r="10" ht="40.5" customHeight="1">
      <c r="B10" s="51" t="inlineStr">
        <is>
          <t>Cost of sales</t>
        </is>
      </c>
      <c r="C10" s="52" t="n">
        <v>3803.5</v>
      </c>
      <c r="D10" s="52" t="n">
        <v>279.1</v>
      </c>
      <c r="E10" s="52" t="n">
        <v>36.4</v>
      </c>
      <c r="F10" s="52" t="n">
        <v>4119</v>
      </c>
      <c r="G10" s="52" t="n">
        <v>4119</v>
      </c>
      <c r="H10" s="51" t="inlineStr">
        <is>
          <t>International gross margin assumed 32.0%, Other 8.0%; North America = residual (40.2% GM)</t>
        </is>
      </c>
      <c r="I10" s="51" t="inlineStr">
        <is>
          <t>D</t>
        </is>
      </c>
    </row>
    <row r="11" ht="14.5" customHeight="1">
      <c r="B11" s="51" t="inlineStr">
        <is>
          <t>Gross profit</t>
        </is>
      </c>
      <c r="C11" s="52" t="n">
        <v>2560.1</v>
      </c>
      <c r="D11" s="52" t="n">
        <v>131.3</v>
      </c>
      <c r="E11" s="52" t="n">
        <v>3.2</v>
      </c>
      <c r="F11" s="52" t="n">
        <v>2694.6</v>
      </c>
      <c r="G11" s="52" t="n">
        <v>2694.6</v>
      </c>
      <c r="H11" s="51" t="inlineStr"/>
      <c r="I11" s="51" t="inlineStr">
        <is>
          <t>C</t>
        </is>
      </c>
    </row>
    <row r="12" ht="27" customHeight="1">
      <c r="B12" s="51" t="inlineStr">
        <is>
          <t>Variable SG&amp;A</t>
        </is>
      </c>
      <c r="C12" s="52" t="n">
        <v>1272.7</v>
      </c>
      <c r="D12" s="52" t="n">
        <v>61.6</v>
      </c>
      <c r="E12" s="52" t="n">
        <v>0</v>
      </c>
      <c r="F12" s="52" t="n">
        <v>1334.3</v>
      </c>
      <c r="G12" s="51" t="inlineStr"/>
      <c r="H12" s="51" t="inlineStr">
        <is>
          <t>20.0% of NA sales, 15.0% of International sales (store payroll, advertising, credit)</t>
        </is>
      </c>
      <c r="I12" s="51" t="inlineStr">
        <is>
          <t>D</t>
        </is>
      </c>
    </row>
    <row r="13" ht="40.5" customHeight="1">
      <c r="B13" s="51" t="inlineStr">
        <is>
          <t>Fixed SG&amp;A</t>
        </is>
      </c>
      <c r="C13" s="52" t="n">
        <v>731.5</v>
      </c>
      <c r="D13" s="52" t="n">
        <v>51.4</v>
      </c>
      <c r="E13" s="52" t="n">
        <v>56</v>
      </c>
      <c r="F13" s="52" t="n">
        <v>838.9</v>
      </c>
      <c r="G13" s="51" t="inlineStr"/>
      <c r="H13" s="51" t="inlineStr">
        <is>
          <t>residual of segment SG&amp;A; corporate &amp; unallocated 56.0 (FY2025: 54.8 per SIG10K25 segment table, grown approx. 2%)</t>
        </is>
      </c>
      <c r="I13" s="51" t="inlineStr">
        <is>
          <t>D</t>
        </is>
      </c>
    </row>
    <row r="14" ht="27" customHeight="1">
      <c r="B14" s="51" t="inlineStr">
        <is>
          <t>Total SG&amp;A</t>
        </is>
      </c>
      <c r="C14" s="52" t="n">
        <v>2004.2</v>
      </c>
      <c r="D14" s="52" t="n">
        <v>113</v>
      </c>
      <c r="E14" s="52" t="n">
        <v>56</v>
      </c>
      <c r="F14" s="52" t="n">
        <v>2173.2</v>
      </c>
      <c r="G14" s="52" t="n">
        <v>2173.2</v>
      </c>
      <c r="H14" s="51" t="inlineStr">
        <is>
          <t>International assumed 27.5% of sales (FY2025: 27.6%)</t>
        </is>
      </c>
      <c r="I14" s="51" t="inlineStr">
        <is>
          <t>D/A</t>
        </is>
      </c>
    </row>
    <row r="15" ht="40.5" customHeight="1">
      <c r="B15" s="51" t="inlineStr">
        <is>
          <t>Other operating income/(expense), net</t>
        </is>
      </c>
      <c r="C15" s="52" t="n">
        <v>-103.3</v>
      </c>
      <c r="D15" s="52" t="n">
        <v>-2</v>
      </c>
      <c r="E15" s="52" t="n">
        <v>-23</v>
      </c>
      <c r="F15" s="52" t="n">
        <v>-128.3</v>
      </c>
      <c r="G15" s="52" t="n">
        <v>-128.3</v>
      </c>
      <c r="H15" s="51" t="inlineStr">
        <is>
          <t>impairments and restructuring; segment split assumed so that segment operating income ties to reported</t>
        </is>
      </c>
      <c r="I15" s="51" t="inlineStr">
        <is>
          <t>D</t>
        </is>
      </c>
    </row>
    <row r="16" ht="27" customHeight="1">
      <c r="B16" s="51" t="inlineStr">
        <is>
          <t>Operating income</t>
        </is>
      </c>
      <c r="C16" s="52" t="n">
        <v>452.6</v>
      </c>
      <c r="D16" s="52" t="n">
        <v>16.3</v>
      </c>
      <c r="E16" s="52" t="n">
        <v>-75.8</v>
      </c>
      <c r="F16" s="52" t="n">
        <v>393.1</v>
      </c>
      <c r="G16" s="52" t="n">
        <v>393.1</v>
      </c>
      <c r="H16" s="51" t="inlineStr">
        <is>
          <t>reported segment operating income (SIG10K26; SIGPR26Q4)</t>
        </is>
      </c>
      <c r="I16" s="51" t="inlineStr">
        <is>
          <t>A/C</t>
        </is>
      </c>
    </row>
    <row r="17" ht="27" customHeight="1">
      <c r="B17" s="51" t="inlineStr">
        <is>
          <t>Net interest and other non-operating income</t>
        </is>
      </c>
      <c r="C17" s="52" t="n">
        <v>4.7</v>
      </c>
      <c r="D17" s="52" t="n">
        <v>0.3</v>
      </c>
      <c r="E17" s="52" t="n">
        <v>0</v>
      </c>
      <c r="F17" s="52" t="n">
        <v>5</v>
      </c>
      <c r="G17" s="52" t="n">
        <v>5</v>
      </c>
      <c r="H17" s="51" t="inlineStr">
        <is>
          <t>4.0 net interest + 1.0 other non-operating, allocated by sales share</t>
        </is>
      </c>
      <c r="I17" s="51" t="inlineStr">
        <is>
          <t>D</t>
        </is>
      </c>
    </row>
    <row r="18" ht="14.5" customHeight="1">
      <c r="B18" s="51" t="inlineStr">
        <is>
          <t>Income before income taxes</t>
        </is>
      </c>
      <c r="C18" s="52" t="n">
        <v>457.3</v>
      </c>
      <c r="D18" s="52" t="n">
        <v>16.6</v>
      </c>
      <c r="E18" s="52" t="n">
        <v>-75.8</v>
      </c>
      <c r="F18" s="52" t="n">
        <v>398.1</v>
      </c>
      <c r="G18" s="52" t="n">
        <v>398.1</v>
      </c>
      <c r="H18" s="51" t="inlineStr"/>
      <c r="I18" s="51" t="inlineStr">
        <is>
          <t>C</t>
        </is>
      </c>
    </row>
    <row r="19" ht="27" customHeight="1">
      <c r="B19" s="51" t="inlineStr">
        <is>
          <t>Income taxes</t>
        </is>
      </c>
      <c r="C19" s="52" t="n">
        <v>119.1</v>
      </c>
      <c r="D19" s="52" t="n">
        <v>4.3</v>
      </c>
      <c r="E19" s="52" t="n">
        <v>-19.7</v>
      </c>
      <c r="F19" s="52" t="n">
        <v>103.7</v>
      </c>
      <c r="G19" s="52" t="n">
        <v>103.7</v>
      </c>
      <c r="H19" s="51" t="inlineStr">
        <is>
          <t>consolidated 26.0% effective rate applied by segment; rounding placed in North America</t>
        </is>
      </c>
      <c r="I19" s="51" t="inlineStr">
        <is>
          <t>D</t>
        </is>
      </c>
    </row>
    <row r="20" ht="14.5" customHeight="1">
      <c r="B20" s="51" t="inlineStr">
        <is>
          <t>Net income</t>
        </is>
      </c>
      <c r="C20" s="52" t="n">
        <v>338.2</v>
      </c>
      <c r="D20" s="52" t="n">
        <v>12.3</v>
      </c>
      <c r="E20" s="52" t="n">
        <v>-56.1</v>
      </c>
      <c r="F20" s="52" t="n">
        <v>294.4</v>
      </c>
      <c r="G20" s="52" t="n">
        <v>294.4</v>
      </c>
      <c r="H20" s="51" t="inlineStr"/>
      <c r="I20" s="51" t="inlineStr">
        <is>
          <t>C</t>
        </is>
      </c>
    </row>
    <row r="21" ht="27" customHeight="1">
      <c r="B21" s="51" t="inlineStr">
        <is>
          <t>Cash and cash equivalents (invested assets)</t>
        </is>
      </c>
      <c r="C21" s="52" t="n">
        <v>817</v>
      </c>
      <c r="D21" s="52" t="n">
        <v>52.7</v>
      </c>
      <c r="E21" s="52" t="n">
        <v>5.1</v>
      </c>
      <c r="F21" s="52" t="n">
        <v>874.8</v>
      </c>
      <c r="G21" s="52" t="n">
        <v>874.8</v>
      </c>
      <c r="H21" s="51" t="inlineStr">
        <is>
          <t>allocated by FY2026 sales share (93.4% / 6.0% / 0.6%)</t>
        </is>
      </c>
      <c r="I21" s="51" t="inlineStr">
        <is>
          <t>D</t>
        </is>
      </c>
    </row>
    <row r="22" ht="27" customHeight="1">
      <c r="B22" s="51" t="inlineStr">
        <is>
          <t>Inventory (non-depreciating operating asset)</t>
        </is>
      </c>
      <c r="C22" s="52" t="n">
        <v>1812</v>
      </c>
      <c r="D22" s="52" t="n">
        <v>116.9</v>
      </c>
      <c r="E22" s="52" t="n">
        <v>11.2</v>
      </c>
      <c r="F22" s="52" t="n">
        <v>1940.1</v>
      </c>
      <c r="G22" s="52" t="n">
        <v>1940.1</v>
      </c>
      <c r="H22" s="51" t="inlineStr">
        <is>
          <t>allocated by FY2026 sales share</t>
        </is>
      </c>
      <c r="I22" s="51" t="inlineStr">
        <is>
          <t>D</t>
        </is>
      </c>
    </row>
    <row r="23" ht="14.5" customHeight="1">
      <c r="B23" s="51" t="inlineStr">
        <is>
          <t>Debt</t>
        </is>
      </c>
      <c r="C23" s="52" t="n">
        <v>0</v>
      </c>
      <c r="D23" s="52" t="n">
        <v>0</v>
      </c>
      <c r="E23" s="52" t="n">
        <v>0</v>
      </c>
      <c r="F23" s="52" t="n">
        <v>0</v>
      </c>
      <c r="G23" s="52" t="n">
        <v>0</v>
      </c>
      <c r="H23" s="51" t="inlineStr">
        <is>
          <t>no funded debt at January 31, 2026</t>
        </is>
      </c>
      <c r="I23" s="51" t="inlineStr">
        <is>
          <t>A</t>
        </is>
      </c>
    </row>
    <row r="24" ht="40.5" customHeight="1">
      <c r="B24" s="51" t="inlineStr">
        <is>
          <t>Other liabilities, net (calibration plug)</t>
        </is>
      </c>
      <c r="C24" s="52" t="n">
        <v>792.7</v>
      </c>
      <c r="D24" s="52" t="n">
        <v>51.1</v>
      </c>
      <c r="E24" s="52" t="n">
        <v>4.9</v>
      </c>
      <c r="F24" s="52" t="n">
        <v>848.7</v>
      </c>
      <c r="G24" s="51" t="inlineStr"/>
      <c r="H24" s="51" t="inlineStr">
        <is>
          <t xml:space="preserve"> = simplified assets 2,814.9 less reported shareholders' equity 1,966.2; allocated by sales share</t>
        </is>
      </c>
      <c r="I24" s="51" t="inlineStr">
        <is>
          <t>D</t>
        </is>
      </c>
    </row>
    <row r="25" ht="14.5" customHeight="1">
      <c r="B25" s="51" t="inlineStr">
        <is>
          <t>Shareholders' equity</t>
        </is>
      </c>
      <c r="C25" s="52" t="n">
        <v>1836.3</v>
      </c>
      <c r="D25" s="52" t="n">
        <v>118.5</v>
      </c>
      <c r="E25" s="52" t="n">
        <v>11.4</v>
      </c>
      <c r="F25" s="52" t="n">
        <v>1966.2</v>
      </c>
      <c r="G25" s="52" t="n">
        <v>1966.2</v>
      </c>
      <c r="H25" s="51" t="inlineStr">
        <is>
          <t>ties to reported total shareholders' equity</t>
        </is>
      </c>
      <c r="I25" s="51" t="inlineStr">
        <is>
          <t>C</t>
        </is>
      </c>
    </row>
    <row r="26" ht="14.5" customHeight="1">
      <c r="B26" s="51" t="inlineStr">
        <is>
          <t>Stores at beginning of year</t>
        </is>
      </c>
      <c r="C26" s="52" t="n">
        <v>2379</v>
      </c>
      <c r="D26" s="55" t="n">
        <v>263</v>
      </c>
      <c r="E26" s="55" t="n">
        <v>0</v>
      </c>
      <c r="F26" s="52" t="n">
        <v>2642</v>
      </c>
      <c r="G26" s="52" t="n">
        <v>2642</v>
      </c>
      <c r="H26" s="51" t="inlineStr"/>
      <c r="I26" s="51" t="inlineStr">
        <is>
          <t>A</t>
        </is>
      </c>
    </row>
    <row r="27" ht="14.5" customHeight="1">
      <c r="B27" s="51" t="inlineStr">
        <is>
          <t>Stores opened</t>
        </is>
      </c>
      <c r="C27" s="55" t="n">
        <v>14</v>
      </c>
      <c r="D27" s="55" t="n">
        <v>0</v>
      </c>
      <c r="E27" s="55" t="n">
        <v>0</v>
      </c>
      <c r="F27" s="55" t="n">
        <v>14</v>
      </c>
      <c r="G27" s="55" t="n">
        <v>14</v>
      </c>
      <c r="H27" s="51" t="inlineStr"/>
      <c r="I27" s="51" t="inlineStr">
        <is>
          <t>A</t>
        </is>
      </c>
    </row>
    <row r="28" ht="14.5" customHeight="1">
      <c r="B28" s="51" t="inlineStr">
        <is>
          <t>Stores closed</t>
        </is>
      </c>
      <c r="C28" s="55" t="n">
        <v>64</v>
      </c>
      <c r="D28" s="55" t="n">
        <v>10</v>
      </c>
      <c r="E28" s="55" t="n">
        <v>0</v>
      </c>
      <c r="F28" s="55" t="n">
        <v>74</v>
      </c>
      <c r="G28" s="55" t="n">
        <v>74</v>
      </c>
      <c r="H28" s="51" t="inlineStr"/>
      <c r="I28" s="51" t="inlineStr">
        <is>
          <t>A</t>
        </is>
      </c>
    </row>
    <row r="29" ht="14.5" customHeight="1">
      <c r="B29" s="51" t="inlineStr">
        <is>
          <t>Stores at end of year</t>
        </is>
      </c>
      <c r="C29" s="52" t="n">
        <v>2329</v>
      </c>
      <c r="D29" s="55" t="n">
        <v>253</v>
      </c>
      <c r="E29" s="55" t="n">
        <v>0</v>
      </c>
      <c r="F29" s="52" t="n">
        <v>2582</v>
      </c>
      <c r="G29" s="52" t="n">
        <v>2582</v>
      </c>
      <c r="H29" s="51" t="inlineStr"/>
      <c r="I29" s="51" t="inlineStr">
        <is>
          <t>A</t>
        </is>
      </c>
    </row>
    <row r="31">
      <c r="A31" s="12" t="inlineStr">
        <is>
          <t>segment_data.csv</t>
        </is>
      </c>
      <c r="B31" s="13" t="n"/>
      <c r="C31" s="13" t="n"/>
      <c r="D31" s="13" t="n"/>
      <c r="E31" s="13" t="n"/>
      <c r="F31" s="13" t="n"/>
      <c r="G31" s="13" t="n"/>
      <c r="H31" s="13" t="n"/>
      <c r="I31" s="13" t="n"/>
      <c r="J31" s="13" t="n"/>
      <c r="K31" s="13" t="n"/>
      <c r="L31" s="13" t="n"/>
    </row>
    <row r="32" ht="28" customHeight="1">
      <c r="B32" s="54" t="inlineStr">
        <is>
          <t>metric</t>
        </is>
      </c>
      <c r="C32" s="54" t="inlineStr">
        <is>
          <t>segment</t>
        </is>
      </c>
      <c r="D32" s="54" t="inlineStr">
        <is>
          <t>fy2024</t>
        </is>
      </c>
      <c r="E32" s="54" t="inlineStr">
        <is>
          <t>fy2025</t>
        </is>
      </c>
      <c r="F32" s="54" t="inlineStr">
        <is>
          <t>fy2026</t>
        </is>
      </c>
      <c r="G32" s="54" t="inlineStr">
        <is>
          <t>units</t>
        </is>
      </c>
      <c r="H32" s="54" t="inlineStr">
        <is>
          <t>source_id</t>
        </is>
      </c>
      <c r="I32" s="54" t="inlineStr">
        <is>
          <t>confidence</t>
        </is>
      </c>
      <c r="J32" s="54" t="inlineStr">
        <is>
          <t>note</t>
        </is>
      </c>
    </row>
    <row r="33" ht="54" customHeight="1">
      <c r="B33" s="51" t="inlineStr">
        <is>
          <t>sales</t>
        </is>
      </c>
      <c r="C33" s="51" t="inlineStr">
        <is>
          <t>North America</t>
        </is>
      </c>
      <c r="D33" s="52" t="n">
        <v>6703.8</v>
      </c>
      <c r="E33" s="52" t="n">
        <v>6299.1</v>
      </c>
      <c r="F33" s="52" t="n">
        <v>6363.6</v>
      </c>
      <c r="G33" s="51" t="inlineStr">
        <is>
          <t>USD millions</t>
        </is>
      </c>
      <c r="H33" s="51" t="inlineStr">
        <is>
          <t>SIG10K26;SIG10K25</t>
        </is>
      </c>
      <c r="I33" s="51" t="inlineStr">
        <is>
          <t>B/C</t>
        </is>
      </c>
      <c r="J33" s="51" t="inlineStr">
        <is>
          <t>FY2026 NA = consolidated 6,813.6 less International 410.4 less Other 39.6 (search excerpt gives 'about $6.36 billion, +1.0%'); FY2025/FY2024 from FY2025 10-K segment table</t>
        </is>
      </c>
    </row>
    <row r="34" ht="14.5" customHeight="1">
      <c r="B34" s="51" t="inlineStr">
        <is>
          <t>sales</t>
        </is>
      </c>
      <c r="C34" s="51" t="inlineStr">
        <is>
          <t>International</t>
        </is>
      </c>
      <c r="D34" s="52" t="n">
        <v>430.7</v>
      </c>
      <c r="E34" s="52" t="n">
        <v>373.2</v>
      </c>
      <c r="F34" s="52" t="n">
        <v>410.4</v>
      </c>
      <c r="G34" s="51" t="inlineStr">
        <is>
          <t>USD millions</t>
        </is>
      </c>
      <c r="H34" s="51" t="inlineStr">
        <is>
          <t>SIG10K26;SIG10K25;SIGPR26Q4</t>
        </is>
      </c>
      <c r="I34" s="51" t="inlineStr">
        <is>
          <t>A</t>
        </is>
      </c>
      <c r="J34" s="51" t="inlineStr">
        <is>
          <t>FY2026 +10.0% reported, +2.6% same-store</t>
        </is>
      </c>
    </row>
    <row r="35" ht="27" customHeight="1">
      <c r="B35" s="51" t="inlineStr">
        <is>
          <t>sales</t>
        </is>
      </c>
      <c r="C35" s="51" t="inlineStr">
        <is>
          <t>Other (diamond sourcing)</t>
        </is>
      </c>
      <c r="D35" s="51" t="inlineStr"/>
      <c r="E35" s="52" t="n">
        <v>31.5</v>
      </c>
      <c r="F35" s="52" t="n">
        <v>39.6</v>
      </c>
      <c r="G35" s="51" t="inlineStr">
        <is>
          <t>USD millions</t>
        </is>
      </c>
      <c r="H35" s="51" t="inlineStr">
        <is>
          <t>SIG10K26;SIG10K25</t>
        </is>
      </c>
      <c r="I35" s="51" t="inlineStr">
        <is>
          <t>A</t>
        </is>
      </c>
      <c r="J35" s="51" t="inlineStr">
        <is>
          <t>FY2024 Other not retrieved (consolidated FY2024 sales approx. 7,171 per press reports)</t>
        </is>
      </c>
    </row>
    <row r="36" ht="27" customHeight="1">
      <c r="B36" s="51" t="inlineStr">
        <is>
          <t>sales</t>
        </is>
      </c>
      <c r="C36" s="51" t="inlineStr">
        <is>
          <t>Consolidated</t>
        </is>
      </c>
      <c r="D36" s="52" t="n">
        <v>7171.1</v>
      </c>
      <c r="E36" s="52" t="n">
        <v>6703.8</v>
      </c>
      <c r="F36" s="52" t="n">
        <v>6813.6</v>
      </c>
      <c r="G36" s="51" t="inlineStr">
        <is>
          <t>USD millions</t>
        </is>
      </c>
      <c r="H36" s="51" t="inlineStr">
        <is>
          <t>SIGPR26Q4;SIGPR25Q4;SIGPR24Q4</t>
        </is>
      </c>
      <c r="I36" s="51" t="inlineStr">
        <is>
          <t>A/B</t>
        </is>
      </c>
      <c r="J36" s="51" t="inlineStr">
        <is>
          <t>FY2024 was a 53-week year (53rd week added $103.2M)</t>
        </is>
      </c>
    </row>
    <row r="37" ht="40.5" customHeight="1">
      <c r="B37" s="51" t="inlineStr">
        <is>
          <t>operating_income_gaap</t>
        </is>
      </c>
      <c r="C37" s="51" t="inlineStr">
        <is>
          <t>North America</t>
        </is>
      </c>
      <c r="D37" s="52" t="n">
        <v>677</v>
      </c>
      <c r="E37" s="52" t="n">
        <v>173.7</v>
      </c>
      <c r="F37" s="52" t="n">
        <v>452.6</v>
      </c>
      <c r="G37" s="51" t="inlineStr">
        <is>
          <t>USD millions</t>
        </is>
      </c>
      <c r="H37" s="51" t="inlineStr">
        <is>
          <t>SIG10K26;SIG10K25;SIGPR26Q4</t>
        </is>
      </c>
      <c r="I37" s="51" t="inlineStr">
        <is>
          <t>A</t>
        </is>
      </c>
      <c r="J37" s="51" t="inlineStr">
        <is>
          <t>FY2025 includes $371.7M impairments; FY2026 includes digital-brand impairments (approx. $91.3M per 10-K excerpt) and restructuring</t>
        </is>
      </c>
    </row>
    <row r="38" ht="40.5" customHeight="1">
      <c r="B38" s="51" t="inlineStr">
        <is>
          <t>operating_income_gaap</t>
        </is>
      </c>
      <c r="C38" s="51" t="inlineStr">
        <is>
          <t>International</t>
        </is>
      </c>
      <c r="D38" s="52" t="n">
        <v>13.1</v>
      </c>
      <c r="E38" s="52" t="n">
        <v>1</v>
      </c>
      <c r="F38" s="52" t="n">
        <v>16.3</v>
      </c>
      <c r="G38" s="51" t="inlineStr">
        <is>
          <t>USD millions</t>
        </is>
      </c>
      <c r="H38" s="51" t="inlineStr">
        <is>
          <t>SIG10K26;SIG10K25;SIGPR26Q4</t>
        </is>
      </c>
      <c r="I38" s="51" t="inlineStr">
        <is>
          <t>A</t>
        </is>
      </c>
      <c r="J38" s="51" t="inlineStr">
        <is>
          <t>FY2025 includes $5.2M restructuring and $2.6M divestiture loss; FY2024 includes $12.3M divestiture gain</t>
        </is>
      </c>
    </row>
    <row r="39" ht="14.5" customHeight="1">
      <c r="B39" s="51" t="inlineStr">
        <is>
          <t>operating_income_gaap</t>
        </is>
      </c>
      <c r="C39" s="51" t="inlineStr">
        <is>
          <t>Other + Corporate/unallocated</t>
        </is>
      </c>
      <c r="D39" s="51" t="inlineStr"/>
      <c r="E39" s="52" t="n">
        <v>-64</v>
      </c>
      <c r="F39" s="52" t="n">
        <v>-75.8</v>
      </c>
      <c r="G39" s="51" t="inlineStr">
        <is>
          <t>USD millions</t>
        </is>
      </c>
      <c r="H39" s="51" t="inlineStr">
        <is>
          <t>derived</t>
        </is>
      </c>
      <c r="I39" s="51" t="inlineStr">
        <is>
          <t>C</t>
        </is>
      </c>
      <c r="J39" s="51" t="inlineStr">
        <is>
          <t>Consolidated less NA less International</t>
        </is>
      </c>
    </row>
    <row r="40" ht="27" customHeight="1">
      <c r="B40" s="51" t="inlineStr">
        <is>
          <t>operating_income_gaap</t>
        </is>
      </c>
      <c r="C40" s="51" t="inlineStr">
        <is>
          <t>Consolidated</t>
        </is>
      </c>
      <c r="D40" s="51" t="inlineStr"/>
      <c r="E40" s="52" t="n">
        <v>110.7</v>
      </c>
      <c r="F40" s="52" t="n">
        <v>393.1</v>
      </c>
      <c r="G40" s="51" t="inlineStr">
        <is>
          <t>USD millions</t>
        </is>
      </c>
      <c r="H40" s="51" t="inlineStr">
        <is>
          <t>SIGPR26Q4</t>
        </is>
      </c>
      <c r="I40" s="51" t="inlineStr">
        <is>
          <t>A</t>
        </is>
      </c>
      <c r="J40" s="51" t="inlineStr">
        <is>
          <t>FY2024 consolidated operating income not retrieved in this session</t>
        </is>
      </c>
    </row>
    <row r="41" ht="14.5" customHeight="1">
      <c r="B41" s="51" t="inlineStr">
        <is>
          <t>operating_income_adjusted</t>
        </is>
      </c>
      <c r="C41" s="51" t="inlineStr">
        <is>
          <t>North America</t>
        </is>
      </c>
      <c r="D41" s="52" t="n">
        <v>709.4</v>
      </c>
      <c r="E41" s="52" t="n">
        <v>551.2</v>
      </c>
      <c r="F41" s="52" t="n">
        <v>560.3</v>
      </c>
      <c r="G41" s="51" t="inlineStr">
        <is>
          <t>USD millions</t>
        </is>
      </c>
      <c r="H41" s="51" t="inlineStr">
        <is>
          <t>SIGPR26Q4;SIGPR25Q4</t>
        </is>
      </c>
      <c r="I41" s="51" t="inlineStr">
        <is>
          <t>A</t>
        </is>
      </c>
      <c r="J41" s="51" t="inlineStr"/>
    </row>
    <row r="42" ht="27" customHeight="1">
      <c r="B42" s="51" t="inlineStr">
        <is>
          <t>operating_income_adjusted</t>
        </is>
      </c>
      <c r="C42" s="51" t="inlineStr">
        <is>
          <t>International</t>
        </is>
      </c>
      <c r="D42" s="52" t="n">
        <v>2</v>
      </c>
      <c r="E42" s="52" t="n">
        <v>9.5</v>
      </c>
      <c r="F42" s="51" t="inlineStr"/>
      <c r="G42" s="51" t="inlineStr">
        <is>
          <t>USD millions</t>
        </is>
      </c>
      <c r="H42" s="51" t="inlineStr">
        <is>
          <t>SIGPR25Q4</t>
        </is>
      </c>
      <c r="I42" s="51" t="inlineStr">
        <is>
          <t>A</t>
        </is>
      </c>
      <c r="J42" s="51" t="inlineStr">
        <is>
          <t>FY2026 International adjusted OI not retrieved</t>
        </is>
      </c>
    </row>
    <row r="43" ht="14.5" customHeight="1">
      <c r="B43" s="51" t="inlineStr">
        <is>
          <t>operating_income_adjusted</t>
        </is>
      </c>
      <c r="C43" s="51" t="inlineStr">
        <is>
          <t>Consolidated</t>
        </is>
      </c>
      <c r="D43" s="51" t="inlineStr"/>
      <c r="E43" s="51" t="inlineStr"/>
      <c r="F43" s="52" t="n">
        <v>515</v>
      </c>
      <c r="G43" s="51" t="inlineStr">
        <is>
          <t>USD millions</t>
        </is>
      </c>
      <c r="H43" s="51" t="inlineStr">
        <is>
          <t>SIGPR26Q4</t>
        </is>
      </c>
      <c r="I43" s="51" t="inlineStr">
        <is>
          <t>A</t>
        </is>
      </c>
      <c r="J43" s="51" t="inlineStr"/>
    </row>
    <row r="44" ht="40.5" customHeight="1">
      <c r="B44" s="51" t="inlineStr">
        <is>
          <t>sga</t>
        </is>
      </c>
      <c r="C44" s="51" t="inlineStr">
        <is>
          <t>North America</t>
        </is>
      </c>
      <c r="D44" s="51" t="inlineStr"/>
      <c r="E44" s="52" t="n">
        <v>1964.7</v>
      </c>
      <c r="F44" s="51" t="inlineStr"/>
      <c r="G44" s="51" t="inlineStr">
        <is>
          <t>USD millions</t>
        </is>
      </c>
      <c r="H44" s="51" t="inlineStr">
        <is>
          <t>SIG10K25</t>
        </is>
      </c>
      <c r="I44" s="51" t="inlineStr">
        <is>
          <t>A</t>
        </is>
      </c>
      <c r="J44" s="51" t="inlineStr">
        <is>
          <t>FY2025 10-K segment table (ASU 2023-07 significant segment expenses); FY2026 segment SG&amp;A not retrieved</t>
        </is>
      </c>
    </row>
    <row r="45" ht="14.5" customHeight="1">
      <c r="B45" s="51" t="inlineStr">
        <is>
          <t>sga</t>
        </is>
      </c>
      <c r="C45" s="51" t="inlineStr">
        <is>
          <t>International</t>
        </is>
      </c>
      <c r="D45" s="51" t="inlineStr"/>
      <c r="E45" s="52" t="n">
        <v>103.1</v>
      </c>
      <c r="F45" s="51" t="inlineStr"/>
      <c r="G45" s="51" t="inlineStr">
        <is>
          <t>USD millions</t>
        </is>
      </c>
      <c r="H45" s="51" t="inlineStr">
        <is>
          <t>SIG10K25</t>
        </is>
      </c>
      <c r="I45" s="51" t="inlineStr">
        <is>
          <t>A</t>
        </is>
      </c>
      <c r="J45" s="51" t="inlineStr"/>
    </row>
    <row r="46" ht="27" customHeight="1">
      <c r="B46" s="51" t="inlineStr">
        <is>
          <t>sga</t>
        </is>
      </c>
      <c r="C46" s="51" t="inlineStr">
        <is>
          <t>Other + Corporate/unallocated</t>
        </is>
      </c>
      <c r="D46" s="51" t="inlineStr"/>
      <c r="E46" s="52" t="n">
        <v>54.8</v>
      </c>
      <c r="F46" s="51" t="inlineStr"/>
      <c r="G46" s="51" t="inlineStr">
        <is>
          <t>USD millions</t>
        </is>
      </c>
      <c r="H46" s="51" t="inlineStr">
        <is>
          <t>SIG10K25</t>
        </is>
      </c>
      <c r="I46" s="51" t="inlineStr">
        <is>
          <t>C</t>
        </is>
      </c>
      <c r="J46" s="51" t="inlineStr">
        <is>
          <t>51.3 corporate/unallocated + residual 3.5 to reconcile to consolidated 2,122.6</t>
        </is>
      </c>
    </row>
    <row r="47" ht="14.5" customHeight="1">
      <c r="B47" s="51" t="inlineStr">
        <is>
          <t>stores_begin</t>
        </is>
      </c>
      <c r="C47" s="51" t="inlineStr">
        <is>
          <t>North America</t>
        </is>
      </c>
      <c r="D47" s="51" t="inlineStr"/>
      <c r="E47" s="51" t="inlineStr"/>
      <c r="F47" s="52" t="n">
        <v>2379</v>
      </c>
      <c r="G47" s="51" t="inlineStr">
        <is>
          <t>count</t>
        </is>
      </c>
      <c r="H47" s="51" t="inlineStr">
        <is>
          <t>SIG10K26</t>
        </is>
      </c>
      <c r="I47" s="51" t="inlineStr">
        <is>
          <t>A</t>
        </is>
      </c>
      <c r="J47" s="51" t="inlineStr">
        <is>
          <t>as of February 1, 2025</t>
        </is>
      </c>
    </row>
    <row r="48" ht="14.5" customHeight="1">
      <c r="B48" s="51" t="inlineStr">
        <is>
          <t>stores_opened</t>
        </is>
      </c>
      <c r="C48" s="51" t="inlineStr">
        <is>
          <t>North America</t>
        </is>
      </c>
      <c r="D48" s="51" t="inlineStr"/>
      <c r="E48" s="51" t="inlineStr"/>
      <c r="F48" s="55" t="n">
        <v>14</v>
      </c>
      <c r="G48" s="51" t="inlineStr">
        <is>
          <t>count</t>
        </is>
      </c>
      <c r="H48" s="51" t="inlineStr">
        <is>
          <t>SIG10K26</t>
        </is>
      </c>
      <c r="I48" s="51" t="inlineStr">
        <is>
          <t>A</t>
        </is>
      </c>
      <c r="J48" s="51" t="inlineStr"/>
    </row>
    <row r="49" ht="14.5" customHeight="1">
      <c r="B49" s="51" t="inlineStr">
        <is>
          <t>stores_closed</t>
        </is>
      </c>
      <c r="C49" s="51" t="inlineStr">
        <is>
          <t>North America</t>
        </is>
      </c>
      <c r="D49" s="51" t="inlineStr"/>
      <c r="E49" s="51" t="inlineStr"/>
      <c r="F49" s="55" t="n">
        <v>64</v>
      </c>
      <c r="G49" s="51" t="inlineStr">
        <is>
          <t>count</t>
        </is>
      </c>
      <c r="H49" s="51" t="inlineStr">
        <is>
          <t>SIG10K26</t>
        </is>
      </c>
      <c r="I49" s="51" t="inlineStr">
        <is>
          <t>A</t>
        </is>
      </c>
      <c r="J49" s="51" t="inlineStr"/>
    </row>
    <row r="50" ht="27" customHeight="1">
      <c r="B50" s="51" t="inlineStr">
        <is>
          <t>stores_end</t>
        </is>
      </c>
      <c r="C50" s="51" t="inlineStr">
        <is>
          <t>North America</t>
        </is>
      </c>
      <c r="D50" s="51" t="inlineStr"/>
      <c r="E50" s="51" t="inlineStr"/>
      <c r="F50" s="52" t="n">
        <v>2329</v>
      </c>
      <c r="G50" s="51" t="inlineStr">
        <is>
          <t>count</t>
        </is>
      </c>
      <c r="H50" s="51" t="inlineStr">
        <is>
          <t>SIG10K26</t>
        </is>
      </c>
      <c r="I50" s="51" t="inlineStr">
        <is>
          <t>A</t>
        </is>
      </c>
      <c r="J50" s="51" t="inlineStr">
        <is>
          <t>as of January 31, 2026; 2,282 as of August 1, 2026 (3 opened / 50 closed in H1 FY2027)</t>
        </is>
      </c>
    </row>
    <row r="51" ht="14.5" customHeight="1">
      <c r="B51" s="51" t="inlineStr">
        <is>
          <t>stores_begin</t>
        </is>
      </c>
      <c r="C51" s="51" t="inlineStr">
        <is>
          <t>International</t>
        </is>
      </c>
      <c r="D51" s="51" t="inlineStr"/>
      <c r="E51" s="51" t="inlineStr"/>
      <c r="F51" s="55" t="n">
        <v>263</v>
      </c>
      <c r="G51" s="51" t="inlineStr">
        <is>
          <t>count</t>
        </is>
      </c>
      <c r="H51" s="51" t="inlineStr">
        <is>
          <t>SIG10K26</t>
        </is>
      </c>
      <c r="I51" s="51" t="inlineStr">
        <is>
          <t>A</t>
        </is>
      </c>
      <c r="J51" s="51" t="inlineStr"/>
    </row>
    <row r="52" ht="14.5" customHeight="1">
      <c r="B52" s="51" t="inlineStr">
        <is>
          <t>stores_opened</t>
        </is>
      </c>
      <c r="C52" s="51" t="inlineStr">
        <is>
          <t>International</t>
        </is>
      </c>
      <c r="D52" s="51" t="inlineStr"/>
      <c r="E52" s="51" t="inlineStr"/>
      <c r="F52" s="55" t="n">
        <v>0</v>
      </c>
      <c r="G52" s="51" t="inlineStr">
        <is>
          <t>count</t>
        </is>
      </c>
      <c r="H52" s="51" t="inlineStr">
        <is>
          <t>SIG10K26</t>
        </is>
      </c>
      <c r="I52" s="51" t="inlineStr">
        <is>
          <t>A</t>
        </is>
      </c>
      <c r="J52" s="51" t="inlineStr"/>
    </row>
    <row r="53" ht="14.5" customHeight="1">
      <c r="B53" s="51" t="inlineStr">
        <is>
          <t>stores_closed</t>
        </is>
      </c>
      <c r="C53" s="51" t="inlineStr">
        <is>
          <t>International</t>
        </is>
      </c>
      <c r="D53" s="51" t="inlineStr"/>
      <c r="E53" s="51" t="inlineStr"/>
      <c r="F53" s="55" t="n">
        <v>10</v>
      </c>
      <c r="G53" s="51" t="inlineStr">
        <is>
          <t>count</t>
        </is>
      </c>
      <c r="H53" s="51" t="inlineStr">
        <is>
          <t>SIG10K26</t>
        </is>
      </c>
      <c r="I53" s="51" t="inlineStr">
        <is>
          <t>A</t>
        </is>
      </c>
      <c r="J53" s="51" t="inlineStr"/>
    </row>
    <row r="54" ht="27" customHeight="1">
      <c r="B54" s="51" t="inlineStr">
        <is>
          <t>stores_end</t>
        </is>
      </c>
      <c r="C54" s="51" t="inlineStr">
        <is>
          <t>International</t>
        </is>
      </c>
      <c r="D54" s="51" t="inlineStr"/>
      <c r="E54" s="51" t="inlineStr"/>
      <c r="F54" s="55" t="n">
        <v>253</v>
      </c>
      <c r="G54" s="51" t="inlineStr">
        <is>
          <t>count</t>
        </is>
      </c>
      <c r="H54" s="51" t="inlineStr">
        <is>
          <t>SIG10K26</t>
        </is>
      </c>
      <c r="I54" s="51" t="inlineStr">
        <is>
          <t>A</t>
        </is>
      </c>
      <c r="J54" s="51" t="inlineStr">
        <is>
          <t>252 as of August 1, 2026 (2 opened / 3 closed in H1 FY2027)</t>
        </is>
      </c>
    </row>
    <row r="55" ht="27" customHeight="1">
      <c r="B55" s="51" t="inlineStr">
        <is>
          <t>stores_end</t>
        </is>
      </c>
      <c r="C55" s="51" t="inlineStr">
        <is>
          <t>Consolidated</t>
        </is>
      </c>
      <c r="D55" s="51" t="inlineStr"/>
      <c r="E55" s="52" t="n">
        <v>2642</v>
      </c>
      <c r="F55" s="52" t="n">
        <v>2582</v>
      </c>
      <c r="G55" s="51" t="inlineStr">
        <is>
          <t>count</t>
        </is>
      </c>
      <c r="H55" s="51" t="inlineStr">
        <is>
          <t>SIG10K26</t>
        </is>
      </c>
      <c r="I55" s="51" t="inlineStr">
        <is>
          <t>A</t>
        </is>
      </c>
      <c r="J55" s="51" t="inlineStr">
        <is>
          <t>2,534 stores and 4.0 million sq ft of selling space at August 1, 2026 (SIG10Q27Q2)</t>
        </is>
      </c>
    </row>
    <row r="57">
      <c r="A57" s="12" t="inlineStr">
        <is>
          <t>income_statement.csv</t>
        </is>
      </c>
      <c r="B57" s="13" t="n"/>
      <c r="C57" s="13" t="n"/>
      <c r="D57" s="13" t="n"/>
      <c r="E57" s="13" t="n"/>
      <c r="F57" s="13" t="n"/>
      <c r="G57" s="13" t="n"/>
      <c r="H57" s="13" t="n"/>
      <c r="I57" s="13" t="n"/>
      <c r="J57" s="13" t="n"/>
      <c r="K57" s="13" t="n"/>
      <c r="L57" s="13" t="n"/>
    </row>
    <row r="58" ht="28" customHeight="1">
      <c r="B58" s="54" t="inlineStr">
        <is>
          <t>line_item</t>
        </is>
      </c>
      <c r="C58" s="54" t="inlineStr">
        <is>
          <t>fy2024</t>
        </is>
      </c>
      <c r="D58" s="54" t="inlineStr">
        <is>
          <t>fy2025</t>
        </is>
      </c>
      <c r="E58" s="54" t="inlineStr">
        <is>
          <t>fy2026</t>
        </is>
      </c>
      <c r="F58" s="54" t="inlineStr">
        <is>
          <t>units</t>
        </is>
      </c>
      <c r="G58" s="54" t="inlineStr">
        <is>
          <t>source_id</t>
        </is>
      </c>
      <c r="H58" s="54" t="inlineStr">
        <is>
          <t>confidence</t>
        </is>
      </c>
      <c r="I58" s="54" t="inlineStr">
        <is>
          <t>note</t>
        </is>
      </c>
    </row>
    <row r="59" ht="14.5" customHeight="1">
      <c r="B59" s="51" t="inlineStr">
        <is>
          <t>Sales</t>
        </is>
      </c>
      <c r="C59" s="52" t="n">
        <v>7171.1</v>
      </c>
      <c r="D59" s="52" t="n">
        <v>6703.8</v>
      </c>
      <c r="E59" s="52" t="n">
        <v>6813.6</v>
      </c>
      <c r="F59" s="51" t="inlineStr">
        <is>
          <t>USD millions</t>
        </is>
      </c>
      <c r="G59" s="51" t="inlineStr">
        <is>
          <t>SIGPR26Q4;SIGPR24Q4</t>
        </is>
      </c>
      <c r="H59" s="51" t="inlineStr">
        <is>
          <t>A/B</t>
        </is>
      </c>
      <c r="I59" s="51" t="inlineStr"/>
    </row>
    <row r="60" ht="27" customHeight="1">
      <c r="B60" s="51" t="inlineStr">
        <is>
          <t>Cost of sales</t>
        </is>
      </c>
      <c r="C60" s="51" t="inlineStr"/>
      <c r="D60" s="52" t="n">
        <v>-4078.2</v>
      </c>
      <c r="E60" s="52" t="n">
        <v>-4119</v>
      </c>
      <c r="F60" s="51" t="inlineStr">
        <is>
          <t>USD millions</t>
        </is>
      </c>
      <c r="G60" s="51" t="inlineStr">
        <is>
          <t>SIGPR26Q4</t>
        </is>
      </c>
      <c r="H60" s="51" t="inlineStr">
        <is>
          <t>B</t>
        </is>
      </c>
      <c r="I60" s="51" t="inlineStr">
        <is>
          <t>FY2026 and FY2025 from press-release / 10-K excerpts</t>
        </is>
      </c>
    </row>
    <row r="61" ht="27" customHeight="1">
      <c r="B61" s="51" t="inlineStr">
        <is>
          <t>Gross margin</t>
        </is>
      </c>
      <c r="C61" s="51" t="inlineStr"/>
      <c r="D61" s="52" t="n">
        <v>2625</v>
      </c>
      <c r="E61" s="52" t="n">
        <v>2694.6</v>
      </c>
      <c r="F61" s="51" t="inlineStr">
        <is>
          <t>USD millions</t>
        </is>
      </c>
      <c r="G61" s="51" t="inlineStr">
        <is>
          <t>SIGPR26Q4;SIG10K26</t>
        </is>
      </c>
      <c r="H61" s="51" t="inlineStr">
        <is>
          <t>A/C</t>
        </is>
      </c>
      <c r="I61" s="51" t="inlineStr">
        <is>
          <t>10-K: 39.5% of sales FY2026 vs 39.2% FY2025; FY2026 dollar figure = 6,813.6 - 4,119.0</t>
        </is>
      </c>
    </row>
    <row r="62" ht="40.5" customHeight="1">
      <c r="B62" s="51" t="inlineStr">
        <is>
          <t>Selling, general and administrative expenses</t>
        </is>
      </c>
      <c r="C62" s="51" t="inlineStr"/>
      <c r="D62" s="52" t="n">
        <v>-2122.6</v>
      </c>
      <c r="E62" s="52" t="n">
        <v>-2173.2</v>
      </c>
      <c r="F62" s="51" t="inlineStr">
        <is>
          <t>USD millions</t>
        </is>
      </c>
      <c r="G62" s="51" t="inlineStr">
        <is>
          <t>SIGPR26Q4;SIG10K26</t>
        </is>
      </c>
      <c r="H62" s="51" t="inlineStr">
        <is>
          <t>A</t>
        </is>
      </c>
      <c r="I62" s="51" t="inlineStr">
        <is>
          <t>31.9% of sales FY2026 vs 31.7%; increase driven mainly by reset of incentive compensation</t>
        </is>
      </c>
    </row>
    <row r="63" ht="54" customHeight="1">
      <c r="B63" s="51" t="inlineStr">
        <is>
          <t>Other operating income (expense), net</t>
        </is>
      </c>
      <c r="C63" s="51" t="inlineStr"/>
      <c r="D63" s="51" t="inlineStr"/>
      <c r="E63" s="52" t="n">
        <v>-128.3</v>
      </c>
      <c r="F63" s="51" t="inlineStr">
        <is>
          <t>USD millions</t>
        </is>
      </c>
      <c r="G63" s="51" t="inlineStr">
        <is>
          <t>derived</t>
        </is>
      </c>
      <c r="H63" s="51" t="inlineStr">
        <is>
          <t>C</t>
        </is>
      </c>
      <c r="I63" s="51" t="inlineStr">
        <is>
          <t xml:space="preserve"> = operating income 393.1 - gross margin 2,694.6 + SG&amp;A 2,173.2; includes asset impairments and restructuring (GAAP-to-adjusted bridge = 515.0 - 393.1 = 121.9)</t>
        </is>
      </c>
    </row>
    <row r="64" ht="14.5" customHeight="1">
      <c r="B64" s="51" t="inlineStr">
        <is>
          <t>Operating income (GAAP)</t>
        </is>
      </c>
      <c r="C64" s="51" t="inlineStr"/>
      <c r="D64" s="52" t="n">
        <v>110.7</v>
      </c>
      <c r="E64" s="52" t="n">
        <v>393.1</v>
      </c>
      <c r="F64" s="51" t="inlineStr">
        <is>
          <t>USD millions</t>
        </is>
      </c>
      <c r="G64" s="51" t="inlineStr">
        <is>
          <t>SIGPR26Q4</t>
        </is>
      </c>
      <c r="H64" s="51" t="inlineStr">
        <is>
          <t>A</t>
        </is>
      </c>
      <c r="I64" s="51" t="inlineStr">
        <is>
          <t>5.8% of sales FY2026 vs 1.7%</t>
        </is>
      </c>
    </row>
    <row r="65" ht="14.5" customHeight="1">
      <c r="B65" s="51" t="inlineStr">
        <is>
          <t>Operating income (adjusted non-GAAP)</t>
        </is>
      </c>
      <c r="C65" s="51" t="inlineStr"/>
      <c r="D65" s="51" t="inlineStr"/>
      <c r="E65" s="52" t="n">
        <v>515</v>
      </c>
      <c r="F65" s="51" t="inlineStr">
        <is>
          <t>USD millions</t>
        </is>
      </c>
      <c r="G65" s="51" t="inlineStr">
        <is>
          <t>SIGPR26Q4</t>
        </is>
      </c>
      <c r="H65" s="51" t="inlineStr">
        <is>
          <t>A</t>
        </is>
      </c>
      <c r="I65" s="51" t="inlineStr"/>
    </row>
    <row r="66" ht="14.5" customHeight="1">
      <c r="B66" s="51" t="inlineStr">
        <is>
          <t>Interest income (expense), net</t>
        </is>
      </c>
      <c r="C66" s="51" t="inlineStr"/>
      <c r="D66" s="52" t="n">
        <v>9.800000000000001</v>
      </c>
      <c r="E66" s="52" t="n">
        <v>4</v>
      </c>
      <c r="F66" s="51" t="inlineStr">
        <is>
          <t>USD millions</t>
        </is>
      </c>
      <c r="G66" s="51" t="inlineStr">
        <is>
          <t>SIGPR26Q4</t>
        </is>
      </c>
      <c r="H66" s="51" t="inlineStr">
        <is>
          <t>A</t>
        </is>
      </c>
      <c r="I66" s="51" t="inlineStr"/>
    </row>
    <row r="67" ht="14.5" customHeight="1">
      <c r="B67" s="51" t="inlineStr">
        <is>
          <t>Other non-operating income, net</t>
        </is>
      </c>
      <c r="C67" s="51" t="inlineStr"/>
      <c r="D67" s="52" t="n">
        <v>3.7</v>
      </c>
      <c r="E67" s="52" t="n">
        <v>1</v>
      </c>
      <c r="F67" s="51" t="inlineStr">
        <is>
          <t>USD millions</t>
        </is>
      </c>
      <c r="G67" s="51" t="inlineStr">
        <is>
          <t>SIGPR26Q4</t>
        </is>
      </c>
      <c r="H67" s="51" t="inlineStr">
        <is>
          <t>A</t>
        </is>
      </c>
      <c r="I67" s="51" t="inlineStr"/>
    </row>
    <row r="68" ht="14.5" customHeight="1">
      <c r="B68" s="51" t="inlineStr">
        <is>
          <t>Income before income taxes</t>
        </is>
      </c>
      <c r="C68" s="51" t="inlineStr"/>
      <c r="D68" s="52" t="n">
        <v>124.2</v>
      </c>
      <c r="E68" s="52" t="n">
        <v>398.1</v>
      </c>
      <c r="F68" s="51" t="inlineStr">
        <is>
          <t>USD millions</t>
        </is>
      </c>
      <c r="G68" s="51" t="inlineStr">
        <is>
          <t>SIGPR26Q4</t>
        </is>
      </c>
      <c r="H68" s="51" t="inlineStr">
        <is>
          <t>A</t>
        </is>
      </c>
      <c r="I68" s="51" t="inlineStr"/>
    </row>
    <row r="69" ht="27" customHeight="1">
      <c r="B69" s="51" t="inlineStr">
        <is>
          <t>Income taxes</t>
        </is>
      </c>
      <c r="C69" s="51" t="inlineStr"/>
      <c r="D69" s="52" t="n">
        <v>-63</v>
      </c>
      <c r="E69" s="52" t="n">
        <v>-103.7</v>
      </c>
      <c r="F69" s="51" t="inlineStr">
        <is>
          <t>USD millions</t>
        </is>
      </c>
      <c r="G69" s="51" t="inlineStr">
        <is>
          <t>SIGPR26Q4</t>
        </is>
      </c>
      <c r="H69" s="51" t="inlineStr">
        <is>
          <t>A</t>
        </is>
      </c>
      <c r="I69" s="51" t="inlineStr">
        <is>
          <t>effective tax rate 26.0% FY2026 vs 50.7% FY2025</t>
        </is>
      </c>
    </row>
    <row r="70" ht="40.5" customHeight="1">
      <c r="B70" s="51" t="inlineStr">
        <is>
          <t>Net income</t>
        </is>
      </c>
      <c r="C70" s="52" t="n">
        <v>810.4</v>
      </c>
      <c r="D70" s="52" t="n">
        <v>61.2</v>
      </c>
      <c r="E70" s="52" t="n">
        <v>294.4</v>
      </c>
      <c r="F70" s="51" t="inlineStr">
        <is>
          <t>USD millions</t>
        </is>
      </c>
      <c r="G70" s="51" t="inlineStr">
        <is>
          <t>SIGPR26Q4;SIG10K26</t>
        </is>
      </c>
      <c r="H70" s="51" t="inlineStr">
        <is>
          <t>A/B</t>
        </is>
      </c>
      <c r="I70" s="51" t="inlineStr">
        <is>
          <t>FY2024 figure from press reports (includes large deferred-tax benefit); not re-verified in this session</t>
        </is>
      </c>
    </row>
    <row r="71" ht="54" customHeight="1">
      <c r="B71" s="51" t="inlineStr">
        <is>
          <t>Diluted EPS (GAAP)</t>
        </is>
      </c>
      <c r="C71" s="52" t="n">
        <v>15.01</v>
      </c>
      <c r="D71" s="51" t="inlineStr"/>
      <c r="E71" s="52" t="n">
        <v>7.08</v>
      </c>
      <c r="F71" s="51" t="inlineStr">
        <is>
          <t>USD per share</t>
        </is>
      </c>
      <c r="G71" s="51" t="inlineStr">
        <is>
          <t>SIGPR26Q4</t>
        </is>
      </c>
      <c r="H71" s="51" t="inlineStr">
        <is>
          <t>A</t>
        </is>
      </c>
      <c r="I71" s="51" t="inlineStr">
        <is>
          <t>FY2024 EPS from FY2024 10-K income-statement excerpt (includes $4.94/share Bermuda CITA deferred-tax benefit); adjusted diluted EPS FY2026 9.60</t>
        </is>
      </c>
    </row>
    <row r="72" ht="40.5" customHeight="1">
      <c r="B72" s="51" t="inlineStr">
        <is>
          <t>Diluted weighted average shares (implied)</t>
        </is>
      </c>
      <c r="C72" s="51" t="inlineStr"/>
      <c r="D72" s="51" t="inlineStr"/>
      <c r="E72" s="52" t="n">
        <v>41.6</v>
      </c>
      <c r="F72" s="51" t="inlineStr">
        <is>
          <t>millions</t>
        </is>
      </c>
      <c r="G72" s="51" t="inlineStr">
        <is>
          <t>derived</t>
        </is>
      </c>
      <c r="H72" s="51" t="inlineStr">
        <is>
          <t>C</t>
        </is>
      </c>
      <c r="I72" s="51" t="inlineStr">
        <is>
          <t xml:space="preserve"> = 294.4 / 7.08; Q2 FY2027 diluted weighted average 39.3M; FY2027 guidance assumes ~38.8M</t>
        </is>
      </c>
    </row>
    <row r="73" ht="14.5" customHeight="1">
      <c r="B73" s="51" t="inlineStr">
        <is>
          <t>Operating cash flow</t>
        </is>
      </c>
      <c r="C73" s="52" t="n">
        <v>546.9</v>
      </c>
      <c r="D73" s="51" t="inlineStr"/>
      <c r="E73" s="52" t="n">
        <v>678.8</v>
      </c>
      <c r="F73" s="51" t="inlineStr">
        <is>
          <t>USD millions</t>
        </is>
      </c>
      <c r="G73" s="51" t="inlineStr">
        <is>
          <t>SIGPR26Q4;SIGPR24Q4</t>
        </is>
      </c>
      <c r="H73" s="51" t="inlineStr">
        <is>
          <t>B</t>
        </is>
      </c>
      <c r="I73" s="51" t="inlineStr"/>
    </row>
    <row r="74" ht="14.5" customHeight="1">
      <c r="B74" s="51" t="inlineStr">
        <is>
          <t>Capital expenditures</t>
        </is>
      </c>
      <c r="C74" s="51" t="inlineStr"/>
      <c r="D74" s="51" t="inlineStr"/>
      <c r="E74" s="52" t="n">
        <v>-153.5</v>
      </c>
      <c r="F74" s="51" t="inlineStr">
        <is>
          <t>USD millions</t>
        </is>
      </c>
      <c r="G74" s="51" t="inlineStr">
        <is>
          <t>SIGPR26Q4</t>
        </is>
      </c>
      <c r="H74" s="51" t="inlineStr">
        <is>
          <t>B</t>
        </is>
      </c>
      <c r="I74" s="51" t="inlineStr">
        <is>
          <t>investing outflows approx. 157.5</t>
        </is>
      </c>
    </row>
    <row r="76">
      <c r="A76" s="12" t="inlineStr">
        <is>
          <t>balance_sheet.csv</t>
        </is>
      </c>
      <c r="B76" s="13" t="n"/>
      <c r="C76" s="13" t="n"/>
      <c r="D76" s="13" t="n"/>
      <c r="E76" s="13" t="n"/>
      <c r="F76" s="13" t="n"/>
      <c r="G76" s="13" t="n"/>
      <c r="H76" s="13" t="n"/>
      <c r="I76" s="13" t="n"/>
      <c r="J76" s="13" t="n"/>
      <c r="K76" s="13" t="n"/>
      <c r="L76" s="13" t="n"/>
    </row>
    <row r="77" ht="28" customHeight="1">
      <c r="B77" s="54" t="inlineStr">
        <is>
          <t>line_item</t>
        </is>
      </c>
      <c r="C77" s="54" t="inlineStr">
        <is>
          <t>fy2025_end</t>
        </is>
      </c>
      <c r="D77" s="54" t="inlineStr">
        <is>
          <t>fy2026_end</t>
        </is>
      </c>
      <c r="E77" s="54" t="inlineStr">
        <is>
          <t>units</t>
        </is>
      </c>
      <c r="F77" s="54" t="inlineStr">
        <is>
          <t>source_id</t>
        </is>
      </c>
      <c r="G77" s="54" t="inlineStr">
        <is>
          <t>confidence</t>
        </is>
      </c>
      <c r="H77" s="54" t="inlineStr">
        <is>
          <t>note</t>
        </is>
      </c>
    </row>
    <row r="78" ht="14.5" customHeight="1">
      <c r="B78" s="51" t="inlineStr">
        <is>
          <t>Cash and cash equivalents</t>
        </is>
      </c>
      <c r="C78" s="52" t="n">
        <v>604</v>
      </c>
      <c r="D78" s="52" t="n">
        <v>874.8</v>
      </c>
      <c r="E78" s="51" t="inlineStr">
        <is>
          <t>USD millions</t>
        </is>
      </c>
      <c r="F78" s="51" t="inlineStr">
        <is>
          <t>SIGPR26Q4;SIG10K26</t>
        </is>
      </c>
      <c r="G78" s="51" t="inlineStr">
        <is>
          <t>A</t>
        </is>
      </c>
      <c r="H78" s="51" t="inlineStr">
        <is>
          <t>as of January 31, 2026</t>
        </is>
      </c>
    </row>
    <row r="79" ht="14.5" customHeight="1">
      <c r="B79" s="51" t="inlineStr">
        <is>
          <t>Inventories</t>
        </is>
      </c>
      <c r="C79" s="51" t="inlineStr"/>
      <c r="D79" s="52" t="n">
        <v>1940.1</v>
      </c>
      <c r="E79" s="51" t="inlineStr">
        <is>
          <t>USD millions</t>
        </is>
      </c>
      <c r="F79" s="51" t="inlineStr">
        <is>
          <t>SIGPR26Q4</t>
        </is>
      </c>
      <c r="G79" s="51" t="inlineStr">
        <is>
          <t>A</t>
        </is>
      </c>
      <c r="H79" s="51" t="inlineStr">
        <is>
          <t>approximately flat year over year</t>
        </is>
      </c>
    </row>
    <row r="80" ht="14.5" customHeight="1">
      <c r="B80" s="51" t="inlineStr">
        <is>
          <t>Operating lease right-of-use assets</t>
        </is>
      </c>
      <c r="C80" s="52" t="n">
        <v>1102.4</v>
      </c>
      <c r="D80" s="52" t="n">
        <v>1146.6</v>
      </c>
      <c r="E80" s="51" t="inlineStr">
        <is>
          <t>USD millions</t>
        </is>
      </c>
      <c r="F80" s="51" t="inlineStr">
        <is>
          <t>SIG10K26</t>
        </is>
      </c>
      <c r="G80" s="51" t="inlineStr">
        <is>
          <t>A</t>
        </is>
      </c>
      <c r="H80" s="51" t="inlineStr"/>
    </row>
    <row r="81" ht="14.5" customHeight="1">
      <c r="B81" s="51" t="inlineStr">
        <is>
          <t>Total assets</t>
        </is>
      </c>
      <c r="C81" s="51" t="inlineStr"/>
      <c r="D81" s="52" t="n">
        <v>5952.1</v>
      </c>
      <c r="E81" s="51" t="inlineStr">
        <is>
          <t>USD millions</t>
        </is>
      </c>
      <c r="F81" s="51" t="inlineStr">
        <is>
          <t>SIG10K26</t>
        </is>
      </c>
      <c r="G81" s="51" t="inlineStr">
        <is>
          <t>B</t>
        </is>
      </c>
      <c r="H81" s="51" t="inlineStr"/>
    </row>
    <row r="82" ht="14.5" customHeight="1">
      <c r="B82" s="51" t="inlineStr">
        <is>
          <t>Accounts payable</t>
        </is>
      </c>
      <c r="C82" s="52" t="n">
        <v>767</v>
      </c>
      <c r="D82" s="52" t="n">
        <v>772.1</v>
      </c>
      <c r="E82" s="51" t="inlineStr">
        <is>
          <t>USD millions</t>
        </is>
      </c>
      <c r="F82" s="51" t="inlineStr">
        <is>
          <t>SIGPR26Q4</t>
        </is>
      </c>
      <c r="G82" s="51" t="inlineStr">
        <is>
          <t>A</t>
        </is>
      </c>
      <c r="H82" s="51" t="inlineStr"/>
    </row>
    <row r="83" ht="27" customHeight="1">
      <c r="B83" s="51" t="inlineStr">
        <is>
          <t>Accrued expenses and other current liabilities</t>
        </is>
      </c>
      <c r="C83" s="51" t="inlineStr"/>
      <c r="D83" s="52" t="n">
        <v>387.3</v>
      </c>
      <c r="E83" s="51" t="inlineStr">
        <is>
          <t>USD millions</t>
        </is>
      </c>
      <c r="F83" s="51" t="inlineStr">
        <is>
          <t>SIGPR26Q4</t>
        </is>
      </c>
      <c r="G83" s="51" t="inlineStr">
        <is>
          <t>B</t>
        </is>
      </c>
      <c r="H83" s="51" t="inlineStr"/>
    </row>
    <row r="84" ht="14.5" customHeight="1">
      <c r="B84" s="51" t="inlineStr">
        <is>
          <t>Operating lease liabilities (non-current)</t>
        </is>
      </c>
      <c r="C84" s="51" t="inlineStr"/>
      <c r="D84" s="52" t="n">
        <v>930.4</v>
      </c>
      <c r="E84" s="51" t="inlineStr">
        <is>
          <t>USD millions</t>
        </is>
      </c>
      <c r="F84" s="51" t="inlineStr">
        <is>
          <t>SIGPR26Q4</t>
        </is>
      </c>
      <c r="G84" s="51" t="inlineStr">
        <is>
          <t>B</t>
        </is>
      </c>
      <c r="H84" s="51" t="inlineStr"/>
    </row>
    <row r="85" ht="27" customHeight="1">
      <c r="B85" s="51" t="inlineStr">
        <is>
          <t>Long-term debt</t>
        </is>
      </c>
      <c r="C85" s="52" t="n">
        <v>0</v>
      </c>
      <c r="D85" s="52" t="n">
        <v>0</v>
      </c>
      <c r="E85" s="51" t="inlineStr">
        <is>
          <t>USD millions</t>
        </is>
      </c>
      <c r="F85" s="51" t="inlineStr">
        <is>
          <t>SIG10K26;SIGCASE2</t>
        </is>
      </c>
      <c r="G85" s="51" t="inlineStr">
        <is>
          <t>B</t>
        </is>
      </c>
      <c r="H85" s="51" t="inlineStr">
        <is>
          <t>no funded debt; senior notes repaid in Fiscal 2025; ABL revolver undrawn</t>
        </is>
      </c>
    </row>
    <row r="86" ht="14.5" customHeight="1">
      <c r="B86" s="51" t="inlineStr">
        <is>
          <t>Total liabilities</t>
        </is>
      </c>
      <c r="C86" s="52" t="n">
        <v>3874.8</v>
      </c>
      <c r="D86" s="52" t="n">
        <v>3985.9</v>
      </c>
      <c r="E86" s="51" t="inlineStr">
        <is>
          <t>USD millions</t>
        </is>
      </c>
      <c r="F86" s="51" t="inlineStr">
        <is>
          <t>SIGPR26Q4</t>
        </is>
      </c>
      <c r="G86" s="51" t="inlineStr">
        <is>
          <t>B</t>
        </is>
      </c>
      <c r="H86" s="51" t="inlineStr"/>
    </row>
    <row r="87" ht="27" customHeight="1">
      <c r="B87" s="51" t="inlineStr">
        <is>
          <t>Total shareholders' equity</t>
        </is>
      </c>
      <c r="C87" s="51" t="inlineStr"/>
      <c r="D87" s="52" t="n">
        <v>1966.2</v>
      </c>
      <c r="E87" s="51" t="inlineStr">
        <is>
          <t>USD millions</t>
        </is>
      </c>
      <c r="F87" s="51" t="inlineStr">
        <is>
          <t>derived</t>
        </is>
      </c>
      <c r="G87" s="51" t="inlineStr">
        <is>
          <t>C</t>
        </is>
      </c>
      <c r="H87" s="51" t="inlineStr">
        <is>
          <t xml:space="preserve"> = total assets 5,952.1 - total liabilities 3,985.9</t>
        </is>
      </c>
    </row>
    <row r="88" ht="27" customHeight="1">
      <c r="B88" s="51" t="inlineStr">
        <is>
          <t>Property, plant and equipment, goodwill, intangibles, deferred revenue</t>
        </is>
      </c>
      <c r="C88" s="51" t="inlineStr"/>
      <c r="D88" s="51" t="inlineStr"/>
      <c r="E88" s="51" t="inlineStr">
        <is>
          <t>USD millions</t>
        </is>
      </c>
      <c r="F88" s="51" t="inlineStr"/>
      <c r="G88" s="51" t="inlineStr"/>
      <c r="H88" s="51" t="inlineStr">
        <is>
          <t>not retrieved; excluded from the cash-basis projection per the Session 5 guidelines</t>
        </is>
      </c>
    </row>
    <row r="90">
      <c r="A90" s="12" t="inlineStr">
        <is>
          <t>capital_return.csv</t>
        </is>
      </c>
      <c r="B90" s="13" t="n"/>
      <c r="C90" s="13" t="n"/>
      <c r="D90" s="13" t="n"/>
      <c r="E90" s="13" t="n"/>
      <c r="F90" s="13" t="n"/>
      <c r="G90" s="13" t="n"/>
      <c r="H90" s="13" t="n"/>
      <c r="I90" s="13" t="n"/>
      <c r="J90" s="13" t="n"/>
      <c r="K90" s="13" t="n"/>
      <c r="L90" s="13" t="n"/>
    </row>
    <row r="91" ht="28" customHeight="1">
      <c r="B91" s="54" t="inlineStr">
        <is>
          <t>item</t>
        </is>
      </c>
      <c r="C91" s="54" t="inlineStr">
        <is>
          <t>fy2024</t>
        </is>
      </c>
      <c r="D91" s="54" t="inlineStr">
        <is>
          <t>fy2025</t>
        </is>
      </c>
      <c r="E91" s="54" t="inlineStr">
        <is>
          <t>fy2026</t>
        </is>
      </c>
      <c r="F91" s="54" t="inlineStr">
        <is>
          <t>h1_fy2027</t>
        </is>
      </c>
      <c r="G91" s="54" t="inlineStr">
        <is>
          <t>units</t>
        </is>
      </c>
      <c r="H91" s="54" t="inlineStr">
        <is>
          <t>source_id</t>
        </is>
      </c>
      <c r="I91" s="54" t="inlineStr">
        <is>
          <t>confidence</t>
        </is>
      </c>
      <c r="J91" s="54" t="inlineStr">
        <is>
          <t>note</t>
        </is>
      </c>
    </row>
    <row r="92" ht="27" customHeight="1">
      <c r="B92" s="51" t="inlineStr">
        <is>
          <t>Common share repurchases</t>
        </is>
      </c>
      <c r="C92" s="52" t="n">
        <v>139.3</v>
      </c>
      <c r="D92" s="52" t="n">
        <v>138</v>
      </c>
      <c r="E92" s="52" t="n">
        <v>205.2</v>
      </c>
      <c r="F92" s="52" t="n">
        <v>169.9</v>
      </c>
      <c r="G92" s="51" t="inlineStr">
        <is>
          <t>USD millions</t>
        </is>
      </c>
      <c r="H92" s="51" t="inlineStr">
        <is>
          <t>SIG10K26;SIGPR26Q4;SIG10Q27Q2</t>
        </is>
      </c>
      <c r="I92" s="51" t="inlineStr">
        <is>
          <t>A/B</t>
        </is>
      </c>
      <c r="J92" s="51" t="inlineStr">
        <is>
          <t>FY2026: approx. 3.1M shares at approx. $66; Q2 FY2027: 1,031,103 shares at $84.57</t>
        </is>
      </c>
    </row>
    <row r="93" ht="27" customHeight="1">
      <c r="B93" s="51" t="inlineStr">
        <is>
          <t>Preferred share repurchase</t>
        </is>
      </c>
      <c r="C93" s="51" t="inlineStr"/>
      <c r="D93" s="52" t="n">
        <v>813.8</v>
      </c>
      <c r="E93" s="51" t="inlineStr"/>
      <c r="F93" s="51" t="inlineStr"/>
      <c r="G93" s="51" t="inlineStr">
        <is>
          <t>USD millions</t>
        </is>
      </c>
      <c r="H93" s="51" t="inlineStr">
        <is>
          <t>SIGPR26Q4</t>
        </is>
      </c>
      <c r="I93" s="51" t="inlineStr">
        <is>
          <t>B</t>
        </is>
      </c>
      <c r="J93" s="51" t="inlineStr">
        <is>
          <t>FY2025 redemption/repurchase of the convertible preferred shares</t>
        </is>
      </c>
    </row>
    <row r="94" ht="14.5" customHeight="1">
      <c r="B94" s="51" t="inlineStr">
        <is>
          <t>Common dividends paid</t>
        </is>
      </c>
      <c r="C94" s="52" t="n">
        <v>41.1</v>
      </c>
      <c r="D94" s="52" t="n">
        <v>48.6</v>
      </c>
      <c r="E94" s="52" t="n">
        <v>51.9</v>
      </c>
      <c r="F94" s="52" t="n">
        <v>26.8</v>
      </c>
      <c r="G94" s="51" t="inlineStr">
        <is>
          <t>USD millions</t>
        </is>
      </c>
      <c r="H94" s="51" t="inlineStr">
        <is>
          <t>SIGPR26Q4;SIG10K26;SIG10Q27Q2</t>
        </is>
      </c>
      <c r="I94" s="51" t="inlineStr">
        <is>
          <t>A/B</t>
        </is>
      </c>
      <c r="J94" s="51" t="inlineStr">
        <is>
          <t>FY2024 figure is dividends declared</t>
        </is>
      </c>
    </row>
    <row r="95" ht="14.5" customHeight="1">
      <c r="B95" s="51" t="inlineStr">
        <is>
          <t>Preferred dividends paid</t>
        </is>
      </c>
      <c r="C95" s="51" t="inlineStr"/>
      <c r="D95" s="52" t="n">
        <v>18.5</v>
      </c>
      <c r="E95" s="51" t="inlineStr"/>
      <c r="F95" s="51" t="inlineStr"/>
      <c r="G95" s="51" t="inlineStr">
        <is>
          <t>USD millions</t>
        </is>
      </c>
      <c r="H95" s="51" t="inlineStr">
        <is>
          <t>SIGPR26Q4</t>
        </is>
      </c>
      <c r="I95" s="51" t="inlineStr">
        <is>
          <t>B</t>
        </is>
      </c>
      <c r="J95" s="51" t="inlineStr"/>
    </row>
    <row r="96" ht="27" customHeight="1">
      <c r="B96" s="51" t="inlineStr">
        <is>
          <t>Dividends declared per common share</t>
        </is>
      </c>
      <c r="C96" s="52" t="n">
        <v>0.92</v>
      </c>
      <c r="D96" s="52" t="n">
        <v>1.16</v>
      </c>
      <c r="E96" s="52" t="n">
        <v>1.28</v>
      </c>
      <c r="F96" s="52" t="n">
        <v>0.7</v>
      </c>
      <c r="G96" s="51" t="inlineStr">
        <is>
          <t>USD per share</t>
        </is>
      </c>
      <c r="H96" s="51" t="inlineStr">
        <is>
          <t>SIG10K26;SIGPR26Q4</t>
        </is>
      </c>
      <c r="I96" s="51" t="inlineStr">
        <is>
          <t>A</t>
        </is>
      </c>
      <c r="J96" s="51" t="inlineStr">
        <is>
          <t>quarterly $0.23 FY2024; $0.35 per quarter declared for FY2027</t>
        </is>
      </c>
    </row>
    <row r="97" ht="14.5" customHeight="1">
      <c r="B97" s="51" t="inlineStr">
        <is>
          <t>Net income (GAAP)</t>
        </is>
      </c>
      <c r="C97" s="52" t="n">
        <v>810.4</v>
      </c>
      <c r="D97" s="52" t="n">
        <v>61.2</v>
      </c>
      <c r="E97" s="52" t="n">
        <v>294.4</v>
      </c>
      <c r="F97" s="51" t="inlineStr"/>
      <c r="G97" s="51" t="inlineStr">
        <is>
          <t>USD millions</t>
        </is>
      </c>
      <c r="H97" s="51" t="inlineStr">
        <is>
          <t>SIGPR26Q4</t>
        </is>
      </c>
      <c r="I97" s="51" t="inlineStr">
        <is>
          <t>A/B</t>
        </is>
      </c>
      <c r="J97" s="51" t="inlineStr"/>
    </row>
    <row r="98" ht="67.5" customHeight="1">
      <c r="B98" s="51" t="inlineStr">
        <is>
          <t>Total common distributions / net income</t>
        </is>
      </c>
      <c r="C98" s="52" t="n">
        <v>0.22</v>
      </c>
      <c r="D98" s="52" t="n">
        <v>3.05</v>
      </c>
      <c r="E98" s="52" t="n">
        <v>0.87</v>
      </c>
      <c r="F98" s="51" t="inlineStr"/>
      <c r="G98" s="51" t="inlineStr">
        <is>
          <t>ratio</t>
        </is>
      </c>
      <c r="H98" s="51" t="inlineStr">
        <is>
          <t>derived</t>
        </is>
      </c>
      <c r="I98" s="51" t="inlineStr">
        <is>
          <t>C</t>
        </is>
      </c>
      <c r="J98" s="51" t="inlineStr">
        <is>
          <t>FY2026: (205.2+51.9)/294.4; FY2025 distorted by $61.2M net income after $371.7M impairments; H1 FY2027 distributions $196.7M vs. H1 net income approx. $84M (diluted EPS $2.11 x 39.8M)</t>
        </is>
      </c>
    </row>
    <row r="99" ht="27" customHeight="1">
      <c r="B99" s="51" t="inlineStr">
        <is>
          <t>Remaining repurchase authorization</t>
        </is>
      </c>
      <c r="C99" s="51" t="inlineStr"/>
      <c r="D99" s="52" t="n">
        <v>723</v>
      </c>
      <c r="E99" s="52" t="n">
        <v>517.9</v>
      </c>
      <c r="F99" s="51" t="inlineStr"/>
      <c r="G99" s="51" t="inlineStr">
        <is>
          <t>USD millions</t>
        </is>
      </c>
      <c r="H99" s="51" t="inlineStr">
        <is>
          <t>SIG10K26;SIG10K25</t>
        </is>
      </c>
      <c r="I99" s="51" t="inlineStr">
        <is>
          <t>A</t>
        </is>
      </c>
      <c r="J99" s="51" t="inlineStr">
        <is>
          <t>$125M accelerated share repurchase announced September 2026</t>
        </is>
      </c>
    </row>
    <row r="101">
      <c r="A101" s="12" t="inlineStr">
        <is>
          <t>operating_kpis.csv</t>
        </is>
      </c>
      <c r="B101" s="13" t="n"/>
      <c r="C101" s="13" t="n"/>
      <c r="D101" s="13" t="n"/>
      <c r="E101" s="13" t="n"/>
      <c r="F101" s="13" t="n"/>
      <c r="G101" s="13" t="n"/>
      <c r="H101" s="13" t="n"/>
      <c r="I101" s="13" t="n"/>
      <c r="J101" s="13" t="n"/>
      <c r="K101" s="13" t="n"/>
      <c r="L101" s="13" t="n"/>
    </row>
    <row r="102" ht="28" customHeight="1">
      <c r="B102" s="54" t="inlineStr">
        <is>
          <t>kpi</t>
        </is>
      </c>
      <c r="C102" s="54" t="inlineStr">
        <is>
          <t>fy2025</t>
        </is>
      </c>
      <c r="D102" s="54" t="inlineStr">
        <is>
          <t>fy2026</t>
        </is>
      </c>
      <c r="E102" s="54" t="inlineStr">
        <is>
          <t>units</t>
        </is>
      </c>
      <c r="F102" s="54" t="inlineStr">
        <is>
          <t>source_id</t>
        </is>
      </c>
      <c r="G102" s="54" t="inlineStr">
        <is>
          <t>confidence</t>
        </is>
      </c>
      <c r="H102" s="54" t="inlineStr">
        <is>
          <t>note</t>
        </is>
      </c>
    </row>
    <row r="103" ht="27" customHeight="1">
      <c r="B103" s="51" t="inlineStr">
        <is>
          <t>Same-store sales growth (consolidated)</t>
        </is>
      </c>
      <c r="C103" s="51" t="inlineStr"/>
      <c r="D103" s="52" t="n">
        <v>1.3</v>
      </c>
      <c r="E103" s="51" t="inlineStr">
        <is>
          <t>percent</t>
        </is>
      </c>
      <c r="F103" s="51" t="inlineStr">
        <is>
          <t>SIGPR26Q4</t>
        </is>
      </c>
      <c r="G103" s="51" t="inlineStr">
        <is>
          <t>A</t>
        </is>
      </c>
      <c r="H103" s="51" t="inlineStr">
        <is>
          <t>NA +1.2%, International +2.6%; Q2 FY2027 +2.2%</t>
        </is>
      </c>
    </row>
    <row r="104" ht="14.5" customHeight="1">
      <c r="B104" s="51" t="inlineStr">
        <is>
          <t>E-commerce sales share of total sales</t>
        </is>
      </c>
      <c r="C104" s="51" t="inlineStr"/>
      <c r="D104" s="52" t="n">
        <v>21.8</v>
      </c>
      <c r="E104" s="51" t="inlineStr">
        <is>
          <t>percent</t>
        </is>
      </c>
      <c r="F104" s="51" t="inlineStr">
        <is>
          <t>SIGAR26</t>
        </is>
      </c>
      <c r="G104" s="51" t="inlineStr">
        <is>
          <t>B</t>
        </is>
      </c>
      <c r="H104" s="51" t="inlineStr"/>
    </row>
    <row r="105" ht="14.5" customHeight="1">
      <c r="B105" s="51" t="inlineStr">
        <is>
          <t>Sales by category: Bridal</t>
        </is>
      </c>
      <c r="C105" s="52" t="n">
        <v>2860.4</v>
      </c>
      <c r="D105" s="52" t="n">
        <v>2863.6</v>
      </c>
      <c r="E105" s="51" t="inlineStr">
        <is>
          <t>USD millions</t>
        </is>
      </c>
      <c r="F105" s="51" t="inlineStr">
        <is>
          <t>SIG10K26</t>
        </is>
      </c>
      <c r="G105" s="51" t="inlineStr">
        <is>
          <t>B</t>
        </is>
      </c>
      <c r="H105" s="51" t="inlineStr">
        <is>
          <t>bridal approx. half of annual sales</t>
        </is>
      </c>
    </row>
    <row r="106" ht="14.5" customHeight="1">
      <c r="B106" s="51" t="inlineStr">
        <is>
          <t>Sales by category: Fashion</t>
        </is>
      </c>
      <c r="C106" s="52" t="n">
        <v>2638.6</v>
      </c>
      <c r="D106" s="52" t="n">
        <v>2630.5</v>
      </c>
      <c r="E106" s="51" t="inlineStr">
        <is>
          <t>USD millions</t>
        </is>
      </c>
      <c r="F106" s="51" t="inlineStr">
        <is>
          <t>SIG10K26</t>
        </is>
      </c>
      <c r="G106" s="51" t="inlineStr">
        <is>
          <t>B</t>
        </is>
      </c>
      <c r="H106" s="51" t="inlineStr"/>
    </row>
    <row r="107" ht="14.5" customHeight="1">
      <c r="B107" s="51" t="inlineStr">
        <is>
          <t>Sales by category: Watches</t>
        </is>
      </c>
      <c r="C107" s="52" t="n">
        <v>318.2</v>
      </c>
      <c r="D107" s="52" t="n">
        <v>350.4</v>
      </c>
      <c r="E107" s="51" t="inlineStr">
        <is>
          <t>USD millions</t>
        </is>
      </c>
      <c r="F107" s="51" t="inlineStr">
        <is>
          <t>SIG10K26</t>
        </is>
      </c>
      <c r="G107" s="51" t="inlineStr">
        <is>
          <t>B</t>
        </is>
      </c>
      <c r="H107" s="51" t="inlineStr"/>
    </row>
    <row r="108" ht="27" customHeight="1">
      <c r="B108" s="51" t="inlineStr">
        <is>
          <t>Sales by category: Services</t>
        </is>
      </c>
      <c r="C108" s="52" t="n">
        <v>745.2</v>
      </c>
      <c r="D108" s="52" t="n">
        <v>803.5</v>
      </c>
      <c r="E108" s="51" t="inlineStr">
        <is>
          <t>USD millions</t>
        </is>
      </c>
      <c r="F108" s="51" t="inlineStr">
        <is>
          <t>SIG10K26</t>
        </is>
      </c>
      <c r="G108" s="51" t="inlineStr">
        <is>
          <t>B</t>
        </is>
      </c>
      <c r="H108" s="51" t="inlineStr">
        <is>
          <t>extended service plans, repairs, custom design; +7.8% in FY2026</t>
        </is>
      </c>
    </row>
    <row r="109" ht="14.5" customHeight="1">
      <c r="B109" s="51" t="inlineStr">
        <is>
          <t>Sales by category: Other</t>
        </is>
      </c>
      <c r="C109" s="52" t="n">
        <v>141.4</v>
      </c>
      <c r="D109" s="52" t="n">
        <v>165.6</v>
      </c>
      <c r="E109" s="51" t="inlineStr">
        <is>
          <t>USD millions</t>
        </is>
      </c>
      <c r="F109" s="51" t="inlineStr">
        <is>
          <t>SIG10K26</t>
        </is>
      </c>
      <c r="G109" s="51" t="inlineStr">
        <is>
          <t>B</t>
        </is>
      </c>
      <c r="H109" s="51" t="inlineStr">
        <is>
          <t>diamond sourcing, loose diamonds, Rocksbox</t>
        </is>
      </c>
    </row>
    <row r="110" ht="14.5" customHeight="1">
      <c r="B110" s="51" t="inlineStr">
        <is>
          <t>Sales by banner: Kay</t>
        </is>
      </c>
      <c r="C110" s="51" t="inlineStr"/>
      <c r="D110" s="52" t="n">
        <v>2572.6</v>
      </c>
      <c r="E110" s="51" t="inlineStr">
        <is>
          <t>USD millions</t>
        </is>
      </c>
      <c r="F110" s="51" t="inlineStr">
        <is>
          <t>SIG10K26</t>
        </is>
      </c>
      <c r="G110" s="51" t="inlineStr">
        <is>
          <t>B</t>
        </is>
      </c>
      <c r="H110" s="51" t="inlineStr"/>
    </row>
    <row r="111" ht="14.5" customHeight="1">
      <c r="B111" s="51" t="inlineStr">
        <is>
          <t>Sales by banner: Zales</t>
        </is>
      </c>
      <c r="C111" s="51" t="inlineStr"/>
      <c r="D111" s="52" t="n">
        <v>1235.5</v>
      </c>
      <c r="E111" s="51" t="inlineStr">
        <is>
          <t>USD millions</t>
        </is>
      </c>
      <c r="F111" s="51" t="inlineStr">
        <is>
          <t>SIG10K26</t>
        </is>
      </c>
      <c r="G111" s="51" t="inlineStr">
        <is>
          <t>B</t>
        </is>
      </c>
      <c r="H111" s="51" t="inlineStr"/>
    </row>
    <row r="112" ht="14.5" customHeight="1">
      <c r="B112" s="51" t="inlineStr">
        <is>
          <t>Sales by banner: Jared</t>
        </is>
      </c>
      <c r="C112" s="51" t="inlineStr"/>
      <c r="D112" s="52" t="n">
        <v>1143</v>
      </c>
      <c r="E112" s="51" t="inlineStr">
        <is>
          <t>USD millions</t>
        </is>
      </c>
      <c r="F112" s="51" t="inlineStr">
        <is>
          <t>SIG10K26</t>
        </is>
      </c>
      <c r="G112" s="51" t="inlineStr">
        <is>
          <t>B</t>
        </is>
      </c>
      <c r="H112" s="51" t="inlineStr"/>
    </row>
    <row r="113" ht="14.5" customHeight="1">
      <c r="B113" s="51" t="inlineStr">
        <is>
          <t>Sales by banner: Blue Nile</t>
        </is>
      </c>
      <c r="C113" s="51" t="inlineStr"/>
      <c r="D113" s="52" t="n">
        <v>339</v>
      </c>
      <c r="E113" s="51" t="inlineStr">
        <is>
          <t>USD millions</t>
        </is>
      </c>
      <c r="F113" s="51" t="inlineStr">
        <is>
          <t>SIG10K26</t>
        </is>
      </c>
      <c r="G113" s="51" t="inlineStr">
        <is>
          <t>B</t>
        </is>
      </c>
      <c r="H113" s="51" t="inlineStr">
        <is>
          <t>digital-native brand</t>
        </is>
      </c>
    </row>
    <row r="114" ht="14.5" customHeight="1">
      <c r="B114" s="51" t="inlineStr">
        <is>
          <t>Sales by banner: James Allen</t>
        </is>
      </c>
      <c r="C114" s="51" t="inlineStr"/>
      <c r="D114" s="52" t="n">
        <v>142.5</v>
      </c>
      <c r="E114" s="51" t="inlineStr">
        <is>
          <t>USD millions</t>
        </is>
      </c>
      <c r="F114" s="51" t="inlineStr">
        <is>
          <t>SIG10K26</t>
        </is>
      </c>
      <c r="G114" s="51" t="inlineStr">
        <is>
          <t>B</t>
        </is>
      </c>
      <c r="H114" s="51" t="inlineStr">
        <is>
          <t>digital-native brand</t>
        </is>
      </c>
    </row>
    <row r="115" ht="14.5" customHeight="1">
      <c r="B115" s="51" t="inlineStr">
        <is>
          <t>Sales by banner: Diamonds Direct</t>
        </is>
      </c>
      <c r="C115" s="51" t="inlineStr"/>
      <c r="D115" s="52" t="n">
        <v>374.1</v>
      </c>
      <c r="E115" s="51" t="inlineStr">
        <is>
          <t>USD millions</t>
        </is>
      </c>
      <c r="F115" s="51" t="inlineStr">
        <is>
          <t>SIG10K26</t>
        </is>
      </c>
      <c r="G115" s="51" t="inlineStr">
        <is>
          <t>B</t>
        </is>
      </c>
      <c r="H115" s="51" t="inlineStr"/>
    </row>
    <row r="116" ht="14.5" customHeight="1">
      <c r="B116" s="51" t="inlineStr">
        <is>
          <t>Sales by banner: Banter by Piercing Pagoda</t>
        </is>
      </c>
      <c r="C116" s="51" t="inlineStr"/>
      <c r="D116" s="52" t="n">
        <v>330.1</v>
      </c>
      <c r="E116" s="51" t="inlineStr">
        <is>
          <t>USD millions</t>
        </is>
      </c>
      <c r="F116" s="51" t="inlineStr">
        <is>
          <t>SIG10K26</t>
        </is>
      </c>
      <c r="G116" s="51" t="inlineStr">
        <is>
          <t>B</t>
        </is>
      </c>
      <c r="H116" s="51" t="inlineStr"/>
    </row>
    <row r="117" ht="14.5" customHeight="1">
      <c r="B117" s="51" t="inlineStr">
        <is>
          <t>Sales by banner: Peoples</t>
        </is>
      </c>
      <c r="C117" s="51" t="inlineStr"/>
      <c r="D117" s="52" t="n">
        <v>213.2</v>
      </c>
      <c r="E117" s="51" t="inlineStr">
        <is>
          <t>USD millions</t>
        </is>
      </c>
      <c r="F117" s="51" t="inlineStr">
        <is>
          <t>SIG10K26</t>
        </is>
      </c>
      <c r="G117" s="51" t="inlineStr">
        <is>
          <t>B</t>
        </is>
      </c>
      <c r="H117" s="51" t="inlineStr">
        <is>
          <t>Canada</t>
        </is>
      </c>
    </row>
    <row r="118" ht="27" customHeight="1">
      <c r="B118" s="51" t="inlineStr">
        <is>
          <t>Sales by banner: International (H.Samuel</t>
        </is>
      </c>
      <c r="C118" s="51" t="inlineStr">
        <is>
          <t xml:space="preserve"> Ernest Jones)</t>
        </is>
      </c>
      <c r="D118" s="51" t="inlineStr"/>
      <c r="E118" s="52" t="n">
        <v>410.4</v>
      </c>
      <c r="F118" s="51" t="inlineStr">
        <is>
          <t>USD millions</t>
        </is>
      </c>
      <c r="G118" s="51" t="inlineStr">
        <is>
          <t>SIG10K26</t>
        </is>
      </c>
      <c r="H118" s="51" t="inlineStr">
        <is>
          <t>A</t>
        </is>
      </c>
      <c r="I118" s="51" t="inlineStr">
        <is>
          <t>H.Samuel approx. 4% and Ernest Jones approx. 2% of consolidated sales</t>
        </is>
      </c>
    </row>
    <row r="119" ht="27" customHeight="1">
      <c r="B119" s="51" t="inlineStr">
        <is>
          <t>Lab-grown diamond share of merchandise sales</t>
        </is>
      </c>
      <c r="C119" s="51" t="inlineStr"/>
      <c r="D119" s="55" t="n">
        <v>27</v>
      </c>
      <c r="E119" s="51" t="inlineStr">
        <is>
          <t>percent</t>
        </is>
      </c>
      <c r="F119" s="51" t="inlineStr">
        <is>
          <t>SIG10K26 (summary)</t>
        </is>
      </c>
      <c r="G119" s="51" t="inlineStr">
        <is>
          <t>B</t>
        </is>
      </c>
      <c r="H119" s="51" t="inlineStr">
        <is>
          <t>from a filing summary; verify against 10-K Item 1</t>
        </is>
      </c>
    </row>
    <row r="120" ht="14.5" customHeight="1">
      <c r="B120" s="51" t="inlineStr">
        <is>
          <t>Team members</t>
        </is>
      </c>
      <c r="C120" s="51" t="inlineStr"/>
      <c r="D120" s="52" t="n">
        <v>27097</v>
      </c>
      <c r="E120" s="51" t="inlineStr">
        <is>
          <t>count</t>
        </is>
      </c>
      <c r="F120" s="51" t="inlineStr">
        <is>
          <t>SIGAR26</t>
        </is>
      </c>
      <c r="G120" s="51" t="inlineStr">
        <is>
          <t>B</t>
        </is>
      </c>
      <c r="H120" s="51" t="inlineStr"/>
    </row>
    <row r="121" ht="27" customHeight="1">
      <c r="B121" s="51" t="inlineStr">
        <is>
          <t>Supplier concentration</t>
        </is>
      </c>
      <c r="C121" s="51" t="inlineStr"/>
      <c r="D121" s="55" t="n">
        <v>22</v>
      </c>
      <c r="E121" s="51" t="inlineStr">
        <is>
          <t>percent</t>
        </is>
      </c>
      <c r="F121" s="51" t="inlineStr">
        <is>
          <t>Session 5 slide 14</t>
        </is>
      </c>
      <c r="G121" s="51" t="inlineStr">
        <is>
          <t>A</t>
        </is>
      </c>
      <c r="H121" s="51" t="inlineStr">
        <is>
          <t>five largest suppliers approx. 22% of purchases; largest approx. 6%</t>
        </is>
      </c>
    </row>
    <row r="122" ht="40.5" customHeight="1">
      <c r="B122" s="51" t="inlineStr">
        <is>
          <t>Tariff refunds received (IEEPA tariffs invalidated Feb 2026)</t>
        </is>
      </c>
      <c r="C122" s="51" t="inlineStr"/>
      <c r="D122" s="51" t="inlineStr"/>
      <c r="E122" s="51" t="inlineStr"/>
      <c r="F122" s="51" t="inlineStr">
        <is>
          <t>SIG10Q27Q2;CNBC26</t>
        </is>
      </c>
      <c r="G122" s="51" t="inlineStr">
        <is>
          <t>B</t>
        </is>
      </c>
      <c r="H122" s="51" t="inlineStr">
        <is>
          <t>approx. $20M received by end of Q2 FY2027; approx. $30M expected for FY2027; tariffs remain a net headwind</t>
        </is>
      </c>
    </row>
    <row r="123" ht="27" customHeight="1">
      <c r="B123" s="51" t="inlineStr">
        <is>
          <t>New consumer credit agreement (Bread Financial)</t>
        </is>
      </c>
      <c r="C123" s="51" t="inlineStr"/>
      <c r="D123" s="51" t="inlineStr"/>
      <c r="E123" s="51" t="inlineStr"/>
      <c r="F123" s="51" t="inlineStr">
        <is>
          <t>SIGPR27Q2;CNBC26</t>
        </is>
      </c>
      <c r="G123" s="51" t="inlineStr">
        <is>
          <t>B</t>
        </is>
      </c>
      <c r="H123" s="51" t="inlineStr">
        <is>
          <t>$30-40M non-comp revenue and gross-margin benefit expected in FY2027</t>
        </is>
      </c>
    </row>
    <row r="125">
      <c r="A125" s="12" t="inlineStr">
        <is>
          <t>guidance_fy2027.csv</t>
        </is>
      </c>
      <c r="B125" s="13" t="n"/>
      <c r="C125" s="13" t="n"/>
      <c r="D125" s="13" t="n"/>
      <c r="E125" s="13" t="n"/>
      <c r="F125" s="13" t="n"/>
      <c r="G125" s="13" t="n"/>
      <c r="H125" s="13" t="n"/>
      <c r="I125" s="13" t="n"/>
      <c r="J125" s="13" t="n"/>
      <c r="K125" s="13" t="n"/>
      <c r="L125" s="13" t="n"/>
    </row>
    <row r="126" ht="28" customHeight="1">
      <c r="B126" s="54" t="inlineStr">
        <is>
          <t>item</t>
        </is>
      </c>
      <c r="C126" s="54" t="inlineStr">
        <is>
          <t>original_mar_2026</t>
        </is>
      </c>
      <c r="D126" s="54" t="inlineStr">
        <is>
          <t>after_q1_jun_2026</t>
        </is>
      </c>
      <c r="E126" s="54" t="inlineStr">
        <is>
          <t>after_q2_sep_2026</t>
        </is>
      </c>
      <c r="F126" s="54" t="inlineStr">
        <is>
          <t>units</t>
        </is>
      </c>
      <c r="G126" s="54" t="inlineStr">
        <is>
          <t>source_id</t>
        </is>
      </c>
      <c r="H126" s="54" t="inlineStr">
        <is>
          <t>confidence</t>
        </is>
      </c>
      <c r="I126" s="54" t="inlineStr">
        <is>
          <t>note</t>
        </is>
      </c>
    </row>
    <row r="127" ht="14.5" customHeight="1">
      <c r="B127" s="51" t="inlineStr">
        <is>
          <t>Total sales</t>
        </is>
      </c>
      <c r="C127" s="51" t="inlineStr">
        <is>
          <t>6.6-6.9</t>
        </is>
      </c>
      <c r="D127" s="51" t="inlineStr">
        <is>
          <t>6.7-6.9</t>
        </is>
      </c>
      <c r="E127" s="51" t="inlineStr">
        <is>
          <t>6.7-6.9</t>
        </is>
      </c>
      <c r="F127" s="51" t="inlineStr">
        <is>
          <t>USD billions</t>
        </is>
      </c>
      <c r="G127" s="51" t="inlineStr">
        <is>
          <t>SIGPR26Q4;SIGPR27Q2</t>
        </is>
      </c>
      <c r="H127" s="51" t="inlineStr">
        <is>
          <t>A</t>
        </is>
      </c>
      <c r="I127" s="51" t="inlineStr"/>
    </row>
    <row r="128" ht="14.5" customHeight="1">
      <c r="B128" s="51" t="inlineStr">
        <is>
          <t>Same-store sales</t>
        </is>
      </c>
      <c r="C128" s="51" t="inlineStr">
        <is>
          <t>(1.25)-2.5</t>
        </is>
      </c>
      <c r="D128" s="51" t="inlineStr">
        <is>
          <t>(0.75)-2.5</t>
        </is>
      </c>
      <c r="E128" s="51" t="inlineStr">
        <is>
          <t>0.0-2.5</t>
        </is>
      </c>
      <c r="F128" s="51" t="inlineStr">
        <is>
          <t>percent</t>
        </is>
      </c>
      <c r="G128" s="51" t="inlineStr">
        <is>
          <t>SIGPR26Q4;SIGPR27Q2</t>
        </is>
      </c>
      <c r="H128" s="51" t="inlineStr">
        <is>
          <t>A</t>
        </is>
      </c>
      <c r="I128" s="51" t="inlineStr"/>
    </row>
    <row r="129" ht="14.5" customHeight="1">
      <c r="B129" s="51" t="inlineStr">
        <is>
          <t>Adjusted operating income</t>
        </is>
      </c>
      <c r="C129" s="51" t="inlineStr"/>
      <c r="D129" s="51" t="inlineStr">
        <is>
          <t>480-560</t>
        </is>
      </c>
      <c r="E129" s="51" t="inlineStr">
        <is>
          <t>535-605</t>
        </is>
      </c>
      <c r="F129" s="51" t="inlineStr">
        <is>
          <t>USD millions</t>
        </is>
      </c>
      <c r="G129" s="51" t="inlineStr">
        <is>
          <t>SIGPR27Q2</t>
        </is>
      </c>
      <c r="H129" s="51" t="inlineStr">
        <is>
          <t>A</t>
        </is>
      </c>
      <c r="I129" s="51" t="inlineStr"/>
    </row>
    <row r="130" ht="14.5" customHeight="1">
      <c r="B130" s="51" t="inlineStr">
        <is>
          <t>Adjusted EBITDA</t>
        </is>
      </c>
      <c r="C130" s="51" t="inlineStr"/>
      <c r="D130" s="51" t="inlineStr">
        <is>
          <t>665-745</t>
        </is>
      </c>
      <c r="E130" s="51" t="inlineStr">
        <is>
          <t>730-800</t>
        </is>
      </c>
      <c r="F130" s="51" t="inlineStr">
        <is>
          <t>USD millions</t>
        </is>
      </c>
      <c r="G130" s="51" t="inlineStr">
        <is>
          <t>SIGPR27Q2</t>
        </is>
      </c>
      <c r="H130" s="51" t="inlineStr">
        <is>
          <t>A</t>
        </is>
      </c>
      <c r="I130" s="51" t="inlineStr"/>
    </row>
    <row r="131" ht="14.5" customHeight="1">
      <c r="B131" s="51" t="inlineStr">
        <is>
          <t>Adjusted diluted EPS</t>
        </is>
      </c>
      <c r="C131" s="51" t="inlineStr">
        <is>
          <t>8.80-10.74</t>
        </is>
      </c>
      <c r="D131" s="51" t="inlineStr">
        <is>
          <t>9.20-11.00</t>
        </is>
      </c>
      <c r="E131" s="51" t="inlineStr">
        <is>
          <t>10.45-12.15</t>
        </is>
      </c>
      <c r="F131" s="51" t="inlineStr">
        <is>
          <t>USD per share</t>
        </is>
      </c>
      <c r="G131" s="51" t="inlineStr">
        <is>
          <t>SIGPR26Q4;SIGPR27Q2</t>
        </is>
      </c>
      <c r="H131" s="51" t="inlineStr">
        <is>
          <t>A</t>
        </is>
      </c>
      <c r="I131" s="51" t="inlineStr"/>
    </row>
    <row r="132" ht="14.5" customHeight="1">
      <c r="B132" s="51" t="inlineStr">
        <is>
          <t>Annual tax rate (ex discrete items)</t>
        </is>
      </c>
      <c r="C132" s="51" t="inlineStr"/>
      <c r="D132" s="51" t="inlineStr"/>
      <c r="E132" s="51" t="inlineStr">
        <is>
          <t>23-25</t>
        </is>
      </c>
      <c r="F132" s="51" t="inlineStr">
        <is>
          <t>percent</t>
        </is>
      </c>
      <c r="G132" s="51" t="inlineStr">
        <is>
          <t>SIGPR27Q2</t>
        </is>
      </c>
      <c r="H132" s="51" t="inlineStr">
        <is>
          <t>B</t>
        </is>
      </c>
      <c r="I132" s="51" t="inlineStr"/>
    </row>
    <row r="133" ht="14.5" customHeight="1">
      <c r="B133" s="51" t="inlineStr">
        <is>
          <t>Weighted average diluted shares</t>
        </is>
      </c>
      <c r="C133" s="51" t="inlineStr"/>
      <c r="D133" s="51" t="inlineStr"/>
      <c r="E133" s="52" t="n">
        <v>38.8</v>
      </c>
      <c r="F133" s="51" t="inlineStr">
        <is>
          <t>millions</t>
        </is>
      </c>
      <c r="G133" s="51" t="inlineStr">
        <is>
          <t>SIGPR27Q2</t>
        </is>
      </c>
      <c r="H133" s="51" t="inlineStr">
        <is>
          <t>B</t>
        </is>
      </c>
      <c r="I133" s="51" t="inlineStr"/>
    </row>
    <row r="134" ht="14.5" customHeight="1">
      <c r="B134" s="51" t="inlineStr">
        <is>
          <t>Net selling square footage</t>
        </is>
      </c>
      <c r="C134" s="51" t="inlineStr"/>
      <c r="D134" s="51" t="inlineStr">
        <is>
          <t>low-single-digit decline</t>
        </is>
      </c>
      <c r="E134" s="51" t="inlineStr">
        <is>
          <t>low-single-digit decline</t>
        </is>
      </c>
      <c r="F134" s="51" t="inlineStr">
        <is>
          <t>percent</t>
        </is>
      </c>
      <c r="G134" s="51" t="inlineStr">
        <is>
          <t>SIG10Q27Q1;SIGPR27Q2</t>
        </is>
      </c>
      <c r="H134" s="51" t="inlineStr">
        <is>
          <t>B</t>
        </is>
      </c>
      <c r="I134" s="51" t="inlineStr"/>
    </row>
    <row r="135" ht="27" customHeight="1">
      <c r="B135" s="51" t="inlineStr">
        <is>
          <t>Capital expenditures</t>
        </is>
      </c>
      <c r="C135" s="51" t="inlineStr"/>
      <c r="D135" s="51" t="inlineStr"/>
      <c r="E135" s="51" t="inlineStr">
        <is>
          <t>not retrieved</t>
        </is>
      </c>
      <c r="F135" s="51" t="inlineStr">
        <is>
          <t>USD millions</t>
        </is>
      </c>
      <c r="G135" s="51" t="inlineStr"/>
      <c r="H135" s="51" t="inlineStr"/>
      <c r="I135" s="51" t="inlineStr">
        <is>
          <t>not needed for the cash-basis static balance sheet</t>
        </is>
      </c>
    </row>
    <row r="136" ht="14.5" customHeight="1">
      <c r="B136" s="51" t="inlineStr">
        <is>
          <t>Quarterly dividend</t>
        </is>
      </c>
      <c r="C136" s="52" t="n">
        <v>0.35</v>
      </c>
      <c r="D136" s="52" t="n">
        <v>0.35</v>
      </c>
      <c r="E136" s="52" t="n">
        <v>0.35</v>
      </c>
      <c r="F136" s="51" t="inlineStr">
        <is>
          <t>USD per share</t>
        </is>
      </c>
      <c r="G136" s="51" t="inlineStr">
        <is>
          <t>SIGPR26Q4</t>
        </is>
      </c>
      <c r="H136" s="51" t="inlineStr">
        <is>
          <t>A</t>
        </is>
      </c>
      <c r="I136" s="51" t="inlineStr"/>
    </row>
    <row r="137" ht="14.5" customHeight="1">
      <c r="B137" s="51" t="inlineStr">
        <is>
          <t>Accelerated share repurchase</t>
        </is>
      </c>
      <c r="C137" s="51" t="inlineStr"/>
      <c r="D137" s="51" t="inlineStr"/>
      <c r="E137" s="55" t="n">
        <v>125</v>
      </c>
      <c r="F137" s="51" t="inlineStr">
        <is>
          <t>USD millions</t>
        </is>
      </c>
      <c r="G137" s="51" t="inlineStr">
        <is>
          <t>SIGPR27Q2</t>
        </is>
      </c>
      <c r="H137" s="51" t="inlineStr">
        <is>
          <t>A</t>
        </is>
      </c>
      <c r="I137" s="51" t="inlineStr">
        <is>
          <t>announced September 2026</t>
        </is>
      </c>
    </row>
    <row r="138" ht="14.5" customHeight="1">
      <c r="B138" s="51" t="inlineStr">
        <is>
          <t>Consensus revenue FY2027 / FY2028</t>
        </is>
      </c>
      <c r="C138" s="51" t="inlineStr"/>
      <c r="D138" s="51" t="inlineStr"/>
      <c r="E138" s="51" t="inlineStr">
        <is>
          <t>6.84 / 6.95</t>
        </is>
      </c>
      <c r="F138" s="51" t="inlineStr">
        <is>
          <t>USD billions</t>
        </is>
      </c>
      <c r="G138" s="51" t="inlineStr">
        <is>
          <t>YAHOOSIG</t>
        </is>
      </c>
      <c r="H138" s="51" t="inlineStr">
        <is>
          <t>B</t>
        </is>
      </c>
      <c r="I138" s="51" t="inlineStr"/>
    </row>
    <row r="139" ht="27" customHeight="1">
      <c r="B139" s="51" t="inlineStr">
        <is>
          <t>Consensus diluted EPS FY2027 / FY2028 / FY2029</t>
        </is>
      </c>
      <c r="C139" s="51" t="inlineStr"/>
      <c r="D139" s="51" t="inlineStr"/>
      <c r="E139" s="51" t="inlineStr">
        <is>
          <t>10.76 / 12.27 / 13.14</t>
        </is>
      </c>
      <c r="F139" s="51" t="inlineStr">
        <is>
          <t>USD per share</t>
        </is>
      </c>
      <c r="G139" s="51" t="inlineStr">
        <is>
          <t>YAHOOSIG;WSZ</t>
        </is>
      </c>
      <c r="H139" s="51" t="inlineStr">
        <is>
          <t>B</t>
        </is>
      </c>
      <c r="I139" s="51" t="inlineStr">
        <is>
          <t>FY2029 from a single aggregator</t>
        </is>
      </c>
    </row>
    <row r="141">
      <c r="A141" s="12" t="inlineStr">
        <is>
          <t>market_data.csv</t>
        </is>
      </c>
      <c r="B141" s="13" t="n"/>
      <c r="C141" s="13" t="n"/>
      <c r="D141" s="13" t="n"/>
      <c r="E141" s="13" t="n"/>
      <c r="F141" s="13" t="n"/>
      <c r="G141" s="13" t="n"/>
      <c r="H141" s="13" t="n"/>
      <c r="I141" s="13" t="n"/>
      <c r="J141" s="13" t="n"/>
      <c r="K141" s="13" t="n"/>
      <c r="L141" s="13" t="n"/>
    </row>
    <row r="142" ht="28" customHeight="1">
      <c r="B142" s="54" t="inlineStr">
        <is>
          <t>item</t>
        </is>
      </c>
      <c r="C142" s="54" t="inlineStr">
        <is>
          <t>value</t>
        </is>
      </c>
      <c r="D142" s="54" t="inlineStr">
        <is>
          <t>as_of</t>
        </is>
      </c>
      <c r="E142" s="54" t="inlineStr">
        <is>
          <t>units</t>
        </is>
      </c>
      <c r="F142" s="54" t="inlineStr">
        <is>
          <t>source_id</t>
        </is>
      </c>
      <c r="G142" s="54" t="inlineStr">
        <is>
          <t>confidence</t>
        </is>
      </c>
      <c r="H142" s="54" t="inlineStr">
        <is>
          <t>note</t>
        </is>
      </c>
    </row>
    <row r="143" ht="14.5" customHeight="1">
      <c r="B143" s="51" t="inlineStr">
        <is>
          <t>SIG closing share price</t>
        </is>
      </c>
      <c r="C143" s="52" t="n">
        <v>105.22</v>
      </c>
      <c r="D143" s="51" t="inlineStr">
        <is>
          <t>2026-10-09</t>
        </is>
      </c>
      <c r="E143" s="51" t="inlineStr">
        <is>
          <t>USD</t>
        </is>
      </c>
      <c r="F143" s="51" t="inlineStr">
        <is>
          <t>YAHOOSIG</t>
        </is>
      </c>
      <c r="G143" s="51" t="inlineStr">
        <is>
          <t>B</t>
        </is>
      </c>
      <c r="H143" s="51" t="inlineStr">
        <is>
          <t>prior close $100.58 on 2026-10-02</t>
        </is>
      </c>
    </row>
    <row r="144" ht="40.5" customHeight="1">
      <c r="B144" s="51" t="inlineStr">
        <is>
          <t>Shares outstanding (estimate used)</t>
        </is>
      </c>
      <c r="C144" s="52" t="n">
        <v>37.5</v>
      </c>
      <c r="D144" s="51" t="inlineStr">
        <is>
          <t>2026-10-09</t>
        </is>
      </c>
      <c r="E144" s="51" t="inlineStr">
        <is>
          <t>millions</t>
        </is>
      </c>
      <c r="F144" s="51" t="inlineStr">
        <is>
          <t>MKTBEAT;GOOGFIN</t>
        </is>
      </c>
      <c r="G144" s="51" t="inlineStr">
        <is>
          <t>D</t>
        </is>
      </c>
      <c r="H144" s="51" t="inlineStr">
        <is>
          <t>MarketBeat 38.32M; Google Finance 37.29M; Q2 FY2027 diluted weighted average 39.3M before the $125M ASR</t>
        </is>
      </c>
    </row>
    <row r="145" ht="27" customHeight="1">
      <c r="B145" s="51" t="inlineStr">
        <is>
          <t>Market capitalization (estimate used)</t>
        </is>
      </c>
      <c r="C145" s="52" t="n">
        <v>3945.8</v>
      </c>
      <c r="D145" s="51" t="inlineStr">
        <is>
          <t>2026-10-09</t>
        </is>
      </c>
      <c r="E145" s="51" t="inlineStr">
        <is>
          <t>USD millions</t>
        </is>
      </c>
      <c r="F145" s="51" t="inlineStr">
        <is>
          <t>derived</t>
        </is>
      </c>
      <c r="G145" s="51" t="inlineStr">
        <is>
          <t>C</t>
        </is>
      </c>
      <c r="H145" s="51" t="inlineStr">
        <is>
          <t xml:space="preserve"> = 105.22 x 37.5; aggregators show $3.75-3.92B on Oct 2</t>
        </is>
      </c>
    </row>
    <row r="146" ht="14.5" customHeight="1">
      <c r="B146" s="51" t="inlineStr">
        <is>
          <t>Trailing P/E</t>
        </is>
      </c>
      <c r="C146" s="52" t="n">
        <v>11.76</v>
      </c>
      <c r="D146" s="51" t="inlineStr">
        <is>
          <t>2026-10-02</t>
        </is>
      </c>
      <c r="E146" s="51" t="inlineStr">
        <is>
          <t>x</t>
        </is>
      </c>
      <c r="F146" s="51" t="inlineStr">
        <is>
          <t>GOOGFIN</t>
        </is>
      </c>
      <c r="G146" s="51" t="inlineStr">
        <is>
          <t>B</t>
        </is>
      </c>
      <c r="H146" s="51" t="inlineStr">
        <is>
          <t>trailing EPS $8.69</t>
        </is>
      </c>
    </row>
    <row r="147" ht="27" customHeight="1">
      <c r="B147" s="51" t="inlineStr">
        <is>
          <t>Beta (5-year</t>
        </is>
      </c>
      <c r="C147" s="51" t="inlineStr">
        <is>
          <t xml:space="preserve"> vs S&amp;P 500)</t>
        </is>
      </c>
      <c r="D147" s="51" t="inlineStr">
        <is>
          <t>1.10-1.44</t>
        </is>
      </c>
      <c r="E147" s="51" t="inlineStr">
        <is>
          <t>2026-10</t>
        </is>
      </c>
      <c r="F147" s="51" t="inlineStr">
        <is>
          <t>x</t>
        </is>
      </c>
      <c r="G147" s="51" t="inlineStr">
        <is>
          <t>MKTBEAT;GOOGFIN;FOOL</t>
        </is>
      </c>
      <c r="H147" s="51" t="inlineStr">
        <is>
          <t>B</t>
        </is>
      </c>
      <c r="I147" s="51" t="inlineStr">
        <is>
          <t>MarketBeat 1.10, Google 1.12, Motley Fool 1.44</t>
        </is>
      </c>
    </row>
    <row r="148" ht="14.5" customHeight="1">
      <c r="B148" s="51" t="inlineStr">
        <is>
          <t>Analyst 12-month price target (consensus)</t>
        </is>
      </c>
      <c r="C148" s="51" t="inlineStr">
        <is>
          <t>110.64-125.56</t>
        </is>
      </c>
      <c r="D148" s="51" t="inlineStr">
        <is>
          <t>2026-10</t>
        </is>
      </c>
      <c r="E148" s="51" t="inlineStr">
        <is>
          <t>USD</t>
        </is>
      </c>
      <c r="F148" s="51" t="inlineStr">
        <is>
          <t>MKTBEAT;WSZ</t>
        </is>
      </c>
      <c r="G148" s="51" t="inlineStr">
        <is>
          <t>B</t>
        </is>
      </c>
      <c r="H148" s="51" t="inlineStr"/>
    </row>
    <row r="149" ht="27" customHeight="1">
      <c r="B149" s="51" t="inlineStr">
        <is>
          <t>10-year U.S. Treasury constant-maturity yield</t>
        </is>
      </c>
      <c r="C149" s="52" t="n">
        <v>5.24</v>
      </c>
      <c r="D149" s="51" t="inlineStr">
        <is>
          <t>2026-10-09</t>
        </is>
      </c>
      <c r="E149" s="51" t="inlineStr">
        <is>
          <t>percent</t>
        </is>
      </c>
      <c r="F149" s="51" t="inlineStr">
        <is>
          <t>H15</t>
        </is>
      </c>
      <c r="G149" s="51" t="inlineStr">
        <is>
          <t>A</t>
        </is>
      </c>
      <c r="H149" s="51" t="inlineStr">
        <is>
          <t>5.31 on Oct 5 (highest since 2002), 5.27 Oct 6, 5.28 Oct 7, 5.22 Oct 8</t>
        </is>
      </c>
    </row>
    <row r="150" ht="27" customHeight="1">
      <c r="B150" s="51" t="inlineStr">
        <is>
          <t>Implied equity risk premium (S&amp;P 500)</t>
        </is>
      </c>
      <c r="C150" s="52" t="n">
        <v>4.2</v>
      </c>
      <c r="D150" s="51" t="inlineStr">
        <is>
          <t>2026-10-01</t>
        </is>
      </c>
      <c r="E150" s="51" t="inlineStr">
        <is>
          <t>percent</t>
        </is>
      </c>
      <c r="F150" s="51" t="inlineStr">
        <is>
          <t>DAMOD</t>
        </is>
      </c>
      <c r="G150" s="51" t="inlineStr">
        <is>
          <t>B</t>
        </is>
      </c>
      <c r="H150" s="51" t="inlineStr">
        <is>
          <t>trailing 12-month cash yield with adjusted payout</t>
        </is>
      </c>
    </row>
    <row r="151" ht="14.5" customHeight="1">
      <c r="B151" s="51" t="inlineStr">
        <is>
          <t>Federal funds target range</t>
        </is>
      </c>
      <c r="C151" s="51" t="inlineStr">
        <is>
          <t>3.75-4.00</t>
        </is>
      </c>
      <c r="D151" s="51" t="inlineStr">
        <is>
          <t>2026-09-17</t>
        </is>
      </c>
      <c r="E151" s="51" t="inlineStr">
        <is>
          <t>percent</t>
        </is>
      </c>
      <c r="F151" s="51" t="inlineStr">
        <is>
          <t>FOMCSEP</t>
        </is>
      </c>
      <c r="G151" s="51" t="inlineStr">
        <is>
          <t>B</t>
        </is>
      </c>
      <c r="H151" s="51" t="inlineStr"/>
    </row>
    <row r="153">
      <c r="A153" s="12" t="inlineStr">
        <is>
          <t>macro.csv</t>
        </is>
      </c>
      <c r="B153" s="13" t="n"/>
      <c r="C153" s="13" t="n"/>
      <c r="D153" s="13" t="n"/>
      <c r="E153" s="13" t="n"/>
      <c r="F153" s="13" t="n"/>
      <c r="G153" s="13" t="n"/>
      <c r="H153" s="13" t="n"/>
      <c r="I153" s="13" t="n"/>
      <c r="J153" s="13" t="n"/>
      <c r="K153" s="13" t="n"/>
      <c r="L153" s="13" t="n"/>
    </row>
    <row r="154" ht="28" customHeight="1">
      <c r="B154" s="54" t="inlineStr">
        <is>
          <t>economy</t>
        </is>
      </c>
      <c r="C154" s="54" t="inlineStr">
        <is>
          <t>indicator</t>
        </is>
      </c>
      <c r="D154" s="54" t="inlineStr">
        <is>
          <t>2026</t>
        </is>
      </c>
      <c r="E154" s="54" t="inlineStr">
        <is>
          <t>2027</t>
        </is>
      </c>
      <c r="F154" s="54" t="inlineStr">
        <is>
          <t>2028</t>
        </is>
      </c>
      <c r="G154" s="54" t="inlineStr">
        <is>
          <t>units</t>
        </is>
      </c>
      <c r="H154" s="54" t="inlineStr">
        <is>
          <t>source_id</t>
        </is>
      </c>
      <c r="I154" s="54" t="inlineStr">
        <is>
          <t>confidence</t>
        </is>
      </c>
      <c r="J154" s="54" t="inlineStr">
        <is>
          <t>note</t>
        </is>
      </c>
    </row>
    <row r="155" ht="14.5" customHeight="1">
      <c r="B155" s="51" t="inlineStr">
        <is>
          <t>United States</t>
        </is>
      </c>
      <c r="C155" s="51" t="inlineStr">
        <is>
          <t>Real GDP growth (FOMC median)</t>
        </is>
      </c>
      <c r="D155" s="52" t="n">
        <v>2.3</v>
      </c>
      <c r="E155" s="52" t="n">
        <v>2.4</v>
      </c>
      <c r="F155" s="52" t="n">
        <v>2.2</v>
      </c>
      <c r="G155" s="51" t="inlineStr">
        <is>
          <t>percent</t>
        </is>
      </c>
      <c r="H155" s="51" t="inlineStr">
        <is>
          <t>FOMCSEP</t>
        </is>
      </c>
      <c r="I155" s="51" t="inlineStr">
        <is>
          <t>A</t>
        </is>
      </c>
      <c r="J155" s="51" t="inlineStr">
        <is>
          <t>September 2026 SEP</t>
        </is>
      </c>
    </row>
    <row r="156" ht="14.5" customHeight="1">
      <c r="B156" s="51" t="inlineStr">
        <is>
          <t>United States</t>
        </is>
      </c>
      <c r="C156" s="51" t="inlineStr">
        <is>
          <t>PCE inflation (FOMC median)</t>
        </is>
      </c>
      <c r="D156" s="52" t="n">
        <v>3.7</v>
      </c>
      <c r="E156" s="52" t="n">
        <v>2.3</v>
      </c>
      <c r="F156" s="52" t="n">
        <v>2.1</v>
      </c>
      <c r="G156" s="51" t="inlineStr">
        <is>
          <t>percent</t>
        </is>
      </c>
      <c r="H156" s="51" t="inlineStr">
        <is>
          <t>FOMCSEP</t>
        </is>
      </c>
      <c r="I156" s="51" t="inlineStr">
        <is>
          <t>A</t>
        </is>
      </c>
      <c r="J156" s="51" t="inlineStr">
        <is>
          <t>core PCE 3.4 / 2.5 / 2.2</t>
        </is>
      </c>
    </row>
    <row r="157" ht="14.5" customHeight="1">
      <c r="B157" s="51" t="inlineStr">
        <is>
          <t>United States</t>
        </is>
      </c>
      <c r="C157" s="51" t="inlineStr">
        <is>
          <t>Real GDP growth (IMF)</t>
        </is>
      </c>
      <c r="D157" s="52" t="n">
        <v>2.4</v>
      </c>
      <c r="E157" s="52" t="n">
        <v>2</v>
      </c>
      <c r="F157" s="51" t="inlineStr"/>
      <c r="G157" s="51" t="inlineStr">
        <is>
          <t>percent</t>
        </is>
      </c>
      <c r="H157" s="51" t="inlineStr">
        <is>
          <t>IMFWEO</t>
        </is>
      </c>
      <c r="I157" s="51" t="inlineStr">
        <is>
          <t>B</t>
        </is>
      </c>
      <c r="J157" s="51" t="inlineStr">
        <is>
          <t>January 2026 WEO update</t>
        </is>
      </c>
    </row>
    <row r="158" ht="14.5" customHeight="1">
      <c r="B158" s="51" t="inlineStr">
        <is>
          <t>Canada</t>
        </is>
      </c>
      <c r="C158" s="51" t="inlineStr">
        <is>
          <t>Real GDP growth (Bank of Canada)</t>
        </is>
      </c>
      <c r="D158" s="52" t="n">
        <v>0.7</v>
      </c>
      <c r="E158" s="52" t="n">
        <v>1.8</v>
      </c>
      <c r="F158" s="52" t="n">
        <v>1.8</v>
      </c>
      <c r="G158" s="51" t="inlineStr">
        <is>
          <t>percent</t>
        </is>
      </c>
      <c r="H158" s="51" t="inlineStr">
        <is>
          <t>BOC</t>
        </is>
      </c>
      <c r="I158" s="51" t="inlineStr">
        <is>
          <t>B</t>
        </is>
      </c>
      <c r="J158" s="51" t="inlineStr">
        <is>
          <t>July 2026 Monetary Policy Report</t>
        </is>
      </c>
    </row>
    <row r="159" ht="14.5" customHeight="1">
      <c r="B159" s="51" t="inlineStr">
        <is>
          <t>Canada</t>
        </is>
      </c>
      <c r="C159" s="51" t="inlineStr">
        <is>
          <t>CPI inflation (Bank of Canada)</t>
        </is>
      </c>
      <c r="D159" s="52" t="n">
        <v>2.5</v>
      </c>
      <c r="E159" s="52" t="n">
        <v>2</v>
      </c>
      <c r="F159" s="51" t="inlineStr"/>
      <c r="G159" s="51" t="inlineStr">
        <is>
          <t>percent</t>
        </is>
      </c>
      <c r="H159" s="51" t="inlineStr">
        <is>
          <t>BOC</t>
        </is>
      </c>
      <c r="I159" s="51" t="inlineStr">
        <is>
          <t>B</t>
        </is>
      </c>
      <c r="J159" s="51" t="inlineStr"/>
    </row>
    <row r="160" ht="14.5" customHeight="1">
      <c r="B160" s="51" t="inlineStr">
        <is>
          <t>United Kingdom</t>
        </is>
      </c>
      <c r="C160" s="51" t="inlineStr">
        <is>
          <t>Real GDP growth (IMF)</t>
        </is>
      </c>
      <c r="D160" s="52" t="n">
        <v>1.3</v>
      </c>
      <c r="E160" s="52" t="n">
        <v>1.5</v>
      </c>
      <c r="F160" s="51" t="inlineStr"/>
      <c r="G160" s="51" t="inlineStr">
        <is>
          <t>percent</t>
        </is>
      </c>
      <c r="H160" s="51" t="inlineStr">
        <is>
          <t>IMFWEO</t>
        </is>
      </c>
      <c r="I160" s="51" t="inlineStr">
        <is>
          <t>B</t>
        </is>
      </c>
      <c r="J160" s="51" t="inlineStr">
        <is>
          <t>January 2026 WEO update</t>
        </is>
      </c>
    </row>
    <row r="161" ht="27" customHeight="1">
      <c r="B161" s="51" t="inlineStr">
        <is>
          <t>Ireland</t>
        </is>
      </c>
      <c r="C161" s="51" t="inlineStr">
        <is>
          <t>Modified domestic demand growth (IMF Article IV)</t>
        </is>
      </c>
      <c r="D161" s="52" t="n">
        <v>2.5</v>
      </c>
      <c r="E161" s="52" t="n">
        <v>2.5</v>
      </c>
      <c r="F161" s="51" t="inlineStr"/>
      <c r="G161" s="51" t="inlineStr">
        <is>
          <t>percent</t>
        </is>
      </c>
      <c r="H161" s="51" t="inlineStr">
        <is>
          <t>IMFIRL</t>
        </is>
      </c>
      <c r="I161" s="51" t="inlineStr">
        <is>
          <t>B</t>
        </is>
      </c>
      <c r="J161" s="51" t="inlineStr">
        <is>
          <t>headline GDP distorted by multinationals</t>
        </is>
      </c>
    </row>
    <row r="162" ht="27" customHeight="1">
      <c r="B162" s="51" t="inlineStr">
        <is>
          <t>Ireland</t>
        </is>
      </c>
      <c r="C162" s="51" t="inlineStr">
        <is>
          <t>Modified domestic demand growth (European Commission)</t>
        </is>
      </c>
      <c r="D162" s="52" t="n">
        <v>2.8</v>
      </c>
      <c r="E162" s="52" t="n">
        <v>3</v>
      </c>
      <c r="F162" s="51" t="inlineStr"/>
      <c r="G162" s="51" t="inlineStr">
        <is>
          <t>percent</t>
        </is>
      </c>
      <c r="H162" s="51" t="inlineStr">
        <is>
          <t>ECIRL</t>
        </is>
      </c>
      <c r="I162" s="51" t="inlineStr">
        <is>
          <t>B</t>
        </is>
      </c>
      <c r="J162" s="51" t="inlineStr">
        <is>
          <t>Spring 2026 forecast</t>
        </is>
      </c>
    </row>
    <row r="163" ht="14.5" customHeight="1">
      <c r="B163" s="51" t="inlineStr">
        <is>
          <t>World</t>
        </is>
      </c>
      <c r="C163" s="51" t="inlineStr">
        <is>
          <t>Headline inflation (IMF)</t>
        </is>
      </c>
      <c r="D163" s="52" t="n">
        <v>3.8</v>
      </c>
      <c r="E163" s="52" t="n">
        <v>3.4</v>
      </c>
      <c r="F163" s="51" t="inlineStr"/>
      <c r="G163" s="51" t="inlineStr">
        <is>
          <t>percent</t>
        </is>
      </c>
      <c r="H163" s="51" t="inlineStr">
        <is>
          <t>IMFWEO</t>
        </is>
      </c>
      <c r="I163" s="51" t="inlineStr">
        <is>
          <t>B</t>
        </is>
      </c>
      <c r="J163" s="51" t="inlineStr"/>
    </row>
    <row r="164" ht="40.5" customHeight="1">
      <c r="B164" s="51" t="inlineStr">
        <is>
          <t>United Kingdom</t>
        </is>
      </c>
      <c r="C164" s="51" t="inlineStr">
        <is>
          <t>CPI inflation (Bank of England; secondary coverage)</t>
        </is>
      </c>
      <c r="D164" s="52" t="n">
        <v>3.1</v>
      </c>
      <c r="E164" s="52" t="n">
        <v>3</v>
      </c>
      <c r="F164" s="52" t="n">
        <v>1.7</v>
      </c>
      <c r="G164" s="51" t="inlineStr">
        <is>
          <t>percent</t>
        </is>
      </c>
      <c r="H164" s="51" t="inlineStr">
        <is>
          <t>BOEPRESS</t>
        </is>
      </c>
      <c r="I164" s="51" t="inlineStr">
        <is>
          <t>B</t>
        </is>
      </c>
      <c r="J164" s="51" t="inlineStr">
        <is>
          <t>approx. 3% in early 2027 falling toward 1.7% by 2028; Vanguard year-end 2026 forecast 3.1%; Bank Rate 3.75%</t>
        </is>
      </c>
    </row>
    <row r="165" ht="27" customHeight="1">
      <c r="B165" s="51" t="inlineStr">
        <is>
          <t>United Kingdom</t>
        </is>
      </c>
      <c r="C165" s="51" t="inlineStr">
        <is>
          <t>Real GDP growth (Oxford Economics via press)</t>
        </is>
      </c>
      <c r="D165" s="52" t="n">
        <v>0.4</v>
      </c>
      <c r="E165" s="52" t="n">
        <v>1</v>
      </c>
      <c r="F165" s="51" t="inlineStr"/>
      <c r="G165" s="51" t="inlineStr">
        <is>
          <t>percent</t>
        </is>
      </c>
      <c r="H165" s="51" t="inlineStr">
        <is>
          <t>BOEPRESS</t>
        </is>
      </c>
      <c r="I165" s="51" t="inlineStr">
        <is>
          <t>B</t>
        </is>
      </c>
      <c r="J165" s="51" t="inlineStr">
        <is>
          <t>private forecast; IMF January 2026 had 1.3 / 1.5</t>
        </is>
      </c>
    </row>
    <row r="167">
      <c r="A167" s="12" t="inlineStr">
        <is>
          <t>sources.json</t>
        </is>
      </c>
      <c r="B167" s="13" t="n"/>
      <c r="C167" s="13" t="n"/>
      <c r="D167" s="13" t="n"/>
      <c r="E167" s="13" t="n"/>
      <c r="F167" s="13" t="n"/>
      <c r="G167" s="13" t="n"/>
      <c r="H167" s="13" t="n"/>
      <c r="I167" s="13" t="n"/>
      <c r="J167" s="13" t="n"/>
      <c r="K167" s="13" t="n"/>
      <c r="L167" s="13" t="n"/>
    </row>
    <row r="168">
      <c r="B168" s="11" t="inlineStr">
        <is>
          <t>id</t>
        </is>
      </c>
      <c r="C168" s="11" t="inlineStr">
        <is>
          <t>APA 7th reference</t>
        </is>
      </c>
      <c r="D168" s="11" t="inlineStr">
        <is>
          <t>url</t>
        </is>
      </c>
      <c r="E168" s="11" t="inlineStr">
        <is>
          <t>accessed</t>
        </is>
      </c>
    </row>
    <row r="169" ht="40.5" customHeight="1">
      <c r="B169" s="4" t="inlineStr">
        <is>
          <t>SIG10K26</t>
        </is>
      </c>
      <c r="C169" s="4" t="inlineStr">
        <is>
          <t>Signet Jewelers Limited. (2026a). Annual report on Form 10-K for the fiscal year ended January 31, 2026. U.S. Securities and Exchange Commission.</t>
        </is>
      </c>
      <c r="D169" s="4" t="inlineStr">
        <is>
          <t>https://www.sec.gov/Archives/edgar/data/832988/000083298826000055/sig-20260131.htm</t>
        </is>
      </c>
      <c r="E169" s="4" t="inlineStr">
        <is>
          <t>2026-10-13</t>
        </is>
      </c>
    </row>
    <row r="170" ht="54" customHeight="1">
      <c r="B170" s="4" t="inlineStr">
        <is>
          <t>SIGPR26Q4</t>
        </is>
      </c>
      <c r="C170" s="4" t="inlineStr">
        <is>
          <t>Signet Jewelers Limited. (2026b, March 19). Signet Jewelers reports fourth quarter and full year Fiscal 2026 results [Press release; Form 8-K Exhibit 99.1]. U.S. Securities and Exchange Commission.</t>
        </is>
      </c>
      <c r="D170" s="4" t="inlineStr">
        <is>
          <t>https://www.sec.gov/Archives/edgar/data/832988/000083298826000054/fy27ex9913x19x26pressrelea.htm</t>
        </is>
      </c>
      <c r="E170" s="4" t="inlineStr">
        <is>
          <t>2026-10-13</t>
        </is>
      </c>
    </row>
    <row r="171" ht="54" customHeight="1">
      <c r="B171" s="4" t="inlineStr">
        <is>
          <t>SIGPR27Q2</t>
        </is>
      </c>
      <c r="C171" s="4" t="inlineStr">
        <is>
          <t>Signet Jewelers Limited. (2026c, September 9). Signet Jewelers reports second quarter Fiscal 2027 results [Press release; Form 8-K Exhibit 99.1]. U.S. Securities and Exchange Commission.</t>
        </is>
      </c>
      <c r="D171" s="4" t="inlineStr">
        <is>
          <t>https://www.sec.gov/Archives/edgar/data/0000832988/000083298826000227/fy27ex99109x09x26pressrele.htm</t>
        </is>
      </c>
      <c r="E171" s="4" t="inlineStr">
        <is>
          <t>2026-10-13</t>
        </is>
      </c>
    </row>
    <row r="172" ht="40.5" customHeight="1">
      <c r="B172" s="4" t="inlineStr">
        <is>
          <t>SIG10Q27Q2</t>
        </is>
      </c>
      <c r="C172" s="4" t="inlineStr">
        <is>
          <t>Signet Jewelers Limited. (2026d). Quarterly report on Form 10-Q for the quarterly period ended August 1, 2026. U.S. Securities and Exchange Commission.</t>
        </is>
      </c>
      <c r="D172" s="4" t="inlineStr">
        <is>
          <t>https://www.sec.gov/Archives/edgar/data/0000832988/000083298826000229/sig-20260801.htm</t>
        </is>
      </c>
      <c r="E172" s="4" t="inlineStr">
        <is>
          <t>2026-10-13</t>
        </is>
      </c>
    </row>
    <row r="173" ht="40.5" customHeight="1">
      <c r="B173" s="4" t="inlineStr">
        <is>
          <t>SIG10Q27Q1</t>
        </is>
      </c>
      <c r="C173" s="4" t="inlineStr">
        <is>
          <t>Signet Jewelers Limited. (2026e). Quarterly report on Form 10-Q for the quarterly period ended May 2, 2026. U.S. Securities and Exchange Commission.</t>
        </is>
      </c>
      <c r="D173" s="4" t="inlineStr">
        <is>
          <t>https://www.sec.gov/Archives/edgar/data/0000832988/000083298826000159/sig-20260502.htm</t>
        </is>
      </c>
      <c r="E173" s="4" t="inlineStr">
        <is>
          <t>2026-10-13</t>
        </is>
      </c>
    </row>
    <row r="174" ht="27" customHeight="1">
      <c r="B174" s="4" t="inlineStr">
        <is>
          <t>SIGAR26</t>
        </is>
      </c>
      <c r="C174" s="4" t="inlineStr">
        <is>
          <t>Signet Jewelers Limited. (2026f). Fiscal 2026 annual report.</t>
        </is>
      </c>
      <c r="D174" s="4" t="inlineStr">
        <is>
          <t>https://s26.q4cdn.com/755441662/files/doc_financials/annual/SIG-fy26-AR.pdf</t>
        </is>
      </c>
      <c r="E174" s="4" t="inlineStr">
        <is>
          <t>2026-10-13</t>
        </is>
      </c>
    </row>
    <row r="175" ht="40.5" customHeight="1">
      <c r="B175" s="4" t="inlineStr">
        <is>
          <t>SIG10K25</t>
        </is>
      </c>
      <c r="C175" s="4" t="inlineStr">
        <is>
          <t>Signet Jewelers Limited. (2025a). Annual report on Form 10-K for the fiscal year ended February 1, 2025. U.S. Securities and Exchange Commission.</t>
        </is>
      </c>
      <c r="D175" s="4" t="inlineStr">
        <is>
          <t>https://www.sec.gov/Archives/edgar/data/832988/000083298825000018/sig-20250201.htm</t>
        </is>
      </c>
      <c r="E175" s="4" t="inlineStr">
        <is>
          <t>2026-10-13</t>
        </is>
      </c>
    </row>
    <row r="176" ht="40.5" customHeight="1">
      <c r="B176" s="4" t="inlineStr">
        <is>
          <t>SIGPR25Q4</t>
        </is>
      </c>
      <c r="C176" s="4" t="inlineStr">
        <is>
          <t>Signet Jewelers Limited. (2025b, March 19). Signet Jewelers reports fourth quarter and Fiscal 2025 results [Press release]. Business Wire.</t>
        </is>
      </c>
      <c r="D176" s="4" t="inlineStr">
        <is>
          <t>https://www.businesswire.com/news/home/20250319542686/en/Signet-Jewelers-Reports-Fourth-Quarter-and-Fiscal-2025-Results</t>
        </is>
      </c>
      <c r="E176" s="4" t="inlineStr">
        <is>
          <t>2026-10-13</t>
        </is>
      </c>
    </row>
    <row r="177" ht="54" customHeight="1">
      <c r="B177" s="4" t="inlineStr">
        <is>
          <t>SIGPR24Q4</t>
        </is>
      </c>
      <c r="C177" s="4" t="inlineStr">
        <is>
          <t>Signet Jewelers Limited. (2024, March 20). Signet Jewelers reports fourth quarter and Fiscal 2024 results [Press release; Form 8-K Exhibit 99.1]. U.S. Securities and Exchange Commission.</t>
        </is>
      </c>
      <c r="D177" s="4" t="inlineStr">
        <is>
          <t>https://www.sec.gov/Archives/edgar/data/832988/000083298824000076/fy25ex9913x20x24pressrelea.htm</t>
        </is>
      </c>
      <c r="E177" s="4" t="inlineStr">
        <is>
          <t>2026-10-13</t>
        </is>
      </c>
    </row>
    <row r="178" ht="27" customHeight="1">
      <c r="B178" s="4" t="inlineStr">
        <is>
          <t>CNBC26</t>
        </is>
      </c>
      <c r="C178" s="4" t="inlineStr">
        <is>
          <t>CNBC. (2026, September 9). Signet shares soar as jeweler lifts annual profit forecast.</t>
        </is>
      </c>
      <c r="D178" s="4" t="inlineStr">
        <is>
          <t>https://www.cnbc.com/2026/09/09/signet-shares-soar-as-jeweler-lifts-annual-profit-forecast.html</t>
        </is>
      </c>
      <c r="E178" s="4" t="inlineStr">
        <is>
          <t>2026-10-13</t>
        </is>
      </c>
    </row>
    <row r="179" ht="27" customHeight="1">
      <c r="B179" s="4" t="inlineStr">
        <is>
          <t>YAHOOSIG</t>
        </is>
      </c>
      <c r="C179" s="4" t="inlineStr">
        <is>
          <t>Yahoo Finance. (2026). Signet Jewelers Limited (SIG) analysis and historical quotes.</t>
        </is>
      </c>
      <c r="D179" s="4" t="inlineStr">
        <is>
          <t>https://finance.yahoo.com/quote/SIG/analysis/</t>
        </is>
      </c>
      <c r="E179" s="4" t="inlineStr">
        <is>
          <t>2026-10-13</t>
        </is>
      </c>
    </row>
    <row r="180" ht="27" customHeight="1">
      <c r="B180" s="4" t="inlineStr">
        <is>
          <t>MKTBEAT</t>
        </is>
      </c>
      <c r="C180" s="4" t="inlineStr">
        <is>
          <t>MarketBeat. (2026). Signet Jewelers (SIG) stock price, news and analysis.</t>
        </is>
      </c>
      <c r="D180" s="4" t="inlineStr">
        <is>
          <t>https://www.marketbeat.com/stocks/NYSE/SIG/</t>
        </is>
      </c>
      <c r="E180" s="4" t="inlineStr">
        <is>
          <t>2026-10-13</t>
        </is>
      </c>
    </row>
    <row r="181" ht="27" customHeight="1">
      <c r="B181" s="4" t="inlineStr">
        <is>
          <t>GOOGFIN</t>
        </is>
      </c>
      <c r="C181" s="4" t="inlineStr">
        <is>
          <t>Google Finance. (2026). Signet Jewelers Ltd (SIG) stock price and news.</t>
        </is>
      </c>
      <c r="D181" s="4" t="inlineStr">
        <is>
          <t>https://www.google.com/finance/quote/SIG:NYSE</t>
        </is>
      </c>
      <c r="E181" s="4" t="inlineStr">
        <is>
          <t>2026-10-13</t>
        </is>
      </c>
    </row>
    <row r="182" ht="27" customHeight="1">
      <c r="B182" s="4" t="inlineStr">
        <is>
          <t>STOCKAN</t>
        </is>
      </c>
      <c r="C182" s="4" t="inlineStr">
        <is>
          <t>StockAnalysis. (2026). Signet Jewelers (SIG) statistics, valuation and forecast.</t>
        </is>
      </c>
      <c r="D182" s="4" t="inlineStr">
        <is>
          <t>https://stockanalysis.com/stocks/sig/statistics/</t>
        </is>
      </c>
      <c r="E182" s="4" t="inlineStr">
        <is>
          <t>2026-10-13</t>
        </is>
      </c>
    </row>
    <row r="183" ht="27" customHeight="1">
      <c r="B183" s="4" t="inlineStr">
        <is>
          <t>WSZ</t>
        </is>
      </c>
      <c r="C183" s="4" t="inlineStr">
        <is>
          <t>WallStreetZen. (2026). Signet Jewelers stock forecast and predictions.</t>
        </is>
      </c>
      <c r="D183" s="4" t="inlineStr">
        <is>
          <t>https://www.wallstreetzen.com/stocks/us/nyse/sig/stock-forecast</t>
        </is>
      </c>
      <c r="E183" s="4" t="inlineStr">
        <is>
          <t>2026-10-13</t>
        </is>
      </c>
    </row>
    <row r="184" ht="27" customHeight="1">
      <c r="B184" s="4" t="inlineStr">
        <is>
          <t>FOOL</t>
        </is>
      </c>
      <c r="C184" s="4" t="inlineStr">
        <is>
          <t>The Motley Fool. (2026). Signet Jewelers (SIG) stock price and news.</t>
        </is>
      </c>
      <c r="D184" s="4" t="inlineStr">
        <is>
          <t>https://www.fool.com/quote/nyse/sig/</t>
        </is>
      </c>
      <c r="E184" s="4" t="inlineStr">
        <is>
          <t>2026-10-13</t>
        </is>
      </c>
    </row>
    <row r="185" ht="27" customHeight="1">
      <c r="B185" s="4" t="inlineStr">
        <is>
          <t>H15</t>
        </is>
      </c>
      <c r="C185" s="4" t="inlineStr">
        <is>
          <t>Board of Governors of the Federal Reserve System. (2026a, October 9). H.15 selected interest rates (daily).</t>
        </is>
      </c>
      <c r="D185" s="4" t="inlineStr">
        <is>
          <t>https://www.federalreserve.gov/releases/h15/</t>
        </is>
      </c>
      <c r="E185" s="4" t="inlineStr">
        <is>
          <t>2026-10-13</t>
        </is>
      </c>
    </row>
    <row r="186" ht="27" customHeight="1">
      <c r="B186" s="4" t="inlineStr">
        <is>
          <t>FOMCSEP</t>
        </is>
      </c>
      <c r="C186" s="4" t="inlineStr">
        <is>
          <t>Board of Governors of the Federal Reserve System. (2026b, September 16). Summary of economic projections.</t>
        </is>
      </c>
      <c r="D186" s="4" t="inlineStr">
        <is>
          <t>https://www.federalreserve.gov/monetarypolicy/fomcprojtabl20260916.htm</t>
        </is>
      </c>
      <c r="E186" s="4" t="inlineStr">
        <is>
          <t>2026-10-13</t>
        </is>
      </c>
    </row>
    <row r="187" ht="27" customHeight="1">
      <c r="B187" s="4" t="inlineStr">
        <is>
          <t>DAMOD</t>
        </is>
      </c>
      <c r="C187" s="4" t="inlineStr">
        <is>
          <t>Damodaran, A. (2026). Implied equity risk premium update (October 1, 2026). NYU Stern School of Business.</t>
        </is>
      </c>
      <c r="D187" s="4" t="inlineStr">
        <is>
          <t>https://pages.stern.nyu.edu/~adamodar/New_Home_Page/home.htm</t>
        </is>
      </c>
      <c r="E187" s="4" t="inlineStr">
        <is>
          <t>2026-10-13</t>
        </is>
      </c>
    </row>
    <row r="188" ht="40.5" customHeight="1">
      <c r="B188" s="4" t="inlineStr">
        <is>
          <t>IMFWEO</t>
        </is>
      </c>
      <c r="C188" s="4" t="inlineStr">
        <is>
          <t>International Monetary Fund. (2026a, January). World economic outlook update: Global growth steady amid trade pressures.</t>
        </is>
      </c>
      <c r="D188" s="4" t="inlineStr">
        <is>
          <t>https://www.imf.org/en/Publications/WEO</t>
        </is>
      </c>
      <c r="E188" s="4" t="inlineStr">
        <is>
          <t>2026-10-13</t>
        </is>
      </c>
    </row>
    <row r="189" ht="40.5" customHeight="1">
      <c r="B189" s="4" t="inlineStr">
        <is>
          <t>IMFIRL</t>
        </is>
      </c>
      <c r="C189" s="4" t="inlineStr">
        <is>
          <t>International Monetary Fund. (2026b, June 29). IMF Executive Board concludes 2026 Article IV consultation with Ireland [Press release No. 26/225].</t>
        </is>
      </c>
      <c r="D189" s="4" t="inlineStr">
        <is>
          <t>https://www.imf.org/en/news/articles/2026/06/29/pr26225-ireland-imf-executive-board-concludes-2026-article-iv-consultation</t>
        </is>
      </c>
      <c r="E189" s="4" t="inlineStr">
        <is>
          <t>2026-10-13</t>
        </is>
      </c>
    </row>
    <row r="190" ht="27" customHeight="1">
      <c r="B190" s="4" t="inlineStr">
        <is>
          <t>BOC</t>
        </is>
      </c>
      <c r="C190" s="4" t="inlineStr">
        <is>
          <t>Bank of Canada. (2026, July 15). Monetary policy report: July 2026.</t>
        </is>
      </c>
      <c r="D190" s="4" t="inlineStr">
        <is>
          <t>https://www.bankofcanada.ca/publications/mpr/mpr-2026-07-15/projections/</t>
        </is>
      </c>
      <c r="E190" s="4" t="inlineStr">
        <is>
          <t>2026-10-13</t>
        </is>
      </c>
    </row>
    <row r="191" ht="27" customHeight="1">
      <c r="B191" s="4" t="inlineStr">
        <is>
          <t>ECIRL</t>
        </is>
      </c>
      <c r="C191" s="4" t="inlineStr">
        <is>
          <t>European Commission. (2026, May). Economic forecast for Ireland (Spring 2026).</t>
        </is>
      </c>
      <c r="D191" s="4" t="inlineStr">
        <is>
          <t>https://economy-finance.ec.europa.eu/economic-surveillance-eu-member-states/country-pages-including-country-reports/ireland/economic-forecast-ireland_en</t>
        </is>
      </c>
      <c r="E191" s="4" t="inlineStr">
        <is>
          <t>2026-10-13</t>
        </is>
      </c>
    </row>
    <row r="192" ht="54" customHeight="1">
      <c r="B192" s="4" t="inlineStr">
        <is>
          <t>SIGCASE2</t>
        </is>
      </c>
      <c r="C192" s="4" t="inlineStr">
        <is>
          <t>Jain, M., Razzaque, Z., Weng, S., Chamsi Bacha, J., &amp; Chan, A. (2026). Signet Jewelers Limited: Enterprise risk management program review (Case Assignment #2) [Unpublished course paper]. Columbia University.</t>
        </is>
      </c>
      <c r="D192" s="4" t="inlineStr">
        <is>
          <t>https://docs.google.com/document/d/1Qr6z5GyjssLGEcddoUETzNGfa9EOANAFN8yzgKIu-rs/edit</t>
        </is>
      </c>
      <c r="E192" s="4" t="inlineStr">
        <is>
          <t>2026-10-13</t>
        </is>
      </c>
    </row>
    <row r="193" ht="40.5" customHeight="1">
      <c r="B193" s="4" t="inlineStr">
        <is>
          <t>SEGAL</t>
        </is>
      </c>
      <c r="C193" s="4" t="inlineStr">
        <is>
          <t>Segal, S. (2011). Corporate value of enterprise risk management: The next step in business management. John Wiley &amp; Sons.</t>
        </is>
      </c>
      <c r="D193" s="4" t="inlineStr"/>
      <c r="E193" s="4" t="inlineStr"/>
    </row>
    <row r="194" ht="27" customHeight="1">
      <c r="B194" s="4" t="inlineStr">
        <is>
          <t>BOEPRESS</t>
        </is>
      </c>
      <c r="C194" s="4" t="inlineStr">
        <is>
          <t>Vanguard. (2026, August 11). Vanguard economic and market outlook: United Kingdom.</t>
        </is>
      </c>
      <c r="D194" s="4" t="inlineStr">
        <is>
          <t>https://externalcrewnet.vanguard.com/content/corporatesite/us/en/corp/vemo/vemo-united-kingdom.html</t>
        </is>
      </c>
      <c r="E194" s="4" t="inlineStr">
        <is>
          <t>2026-10-13</t>
        </is>
      </c>
    </row>
    <row r="195" ht="40.5" customHeight="1">
      <c r="B195" s="4" t="inlineStr">
        <is>
          <t>SIG10K24</t>
        </is>
      </c>
      <c r="C195" s="4" t="inlineStr">
        <is>
          <t>Signet Jewelers Limited. (2024). Annual report on Form 10-K for the fiscal year ended February 3, 2024. U.S. Securities and Exchange Commission.</t>
        </is>
      </c>
      <c r="D195" s="4" t="inlineStr">
        <is>
          <t>https://www.sec.gov/Archives/edgar/data/832988/000083298824000083/sig-20240203.htm</t>
        </is>
      </c>
      <c r="E195" s="4" t="inlineStr">
        <is>
          <t>2026-10-13</t>
        </is>
      </c>
    </row>
    <row r="197">
      <c r="A197" s="12" t="inlineStr">
        <is>
          <t>Note on sources</t>
        </is>
      </c>
      <c r="B197" s="13" t="n"/>
      <c r="C197" s="13" t="n"/>
      <c r="D197" s="13" t="n"/>
      <c r="E197" s="13" t="n"/>
      <c r="F197" s="13" t="n"/>
      <c r="G197" s="13" t="n"/>
      <c r="H197" s="13" t="n"/>
      <c r="I197" s="13" t="n"/>
      <c r="J197" s="13" t="n"/>
      <c r="K197" s="13" t="n"/>
      <c r="L197" s="13" t="n"/>
    </row>
    <row r="198" ht="54" customHeight="1">
      <c r="B198" s="4" t="inlineStr">
        <is>
          <t>All sources accessed 2026-10-13 from the Claude Code environment. Direct fetches of sec.gov, signetjewelers.com and q4cdn.com were blocked by the environment's network policy, so figures were extracted from web-search result excerpts of those documents and of their verbatim re-publications (Business Wire, Nasdaq, Morningstar, StreetInsider). Every figure is tagged with a confidence flag in the CSV files: A = quoted verbatim from the primary document excerpt; B = from a verbatim re-publication or a second-hand summary of the primary document; C = derived by arithmetic from A/B figures; D = team estimate / allocation (documented in the Assumptions &amp; Sources tab).</t>
        </is>
      </c>
    </row>
  </sheetData>
  <mergeCells count="1">
    <mergeCell ref="B198:L198"/>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2026-10-13T23:15:24Z</dcterms:created>
  <dcterms:modified xmlns:dcterms="http://purl.org/dc/terms/" xmlns:xsi="http://www.w3.org/2001/XMLSchema-instance" xsi:type="dcterms:W3CDTF">2026-10-13T23:15:24Z</dcterms:modified>
</cp:coreProperties>
</file>