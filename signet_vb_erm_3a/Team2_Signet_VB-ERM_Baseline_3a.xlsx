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1.xml" ContentType="application/vnd.openxmlformats-officedocument.drawing+xml"/>
  <Override PartName="/xl/worksheets/sheet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Assumptions &amp; Sources" sheetId="2" state="visible" r:id="rId2"/>
    <sheet xmlns:r="http://schemas.openxmlformats.org/officeDocument/2006/relationships" name="Model - NA" sheetId="3" state="visible" r:id="rId3"/>
    <sheet xmlns:r="http://schemas.openxmlformats.org/officeDocument/2006/relationships" name="Model - INTL" sheetId="4" state="visible" r:id="rId4"/>
    <sheet xmlns:r="http://schemas.openxmlformats.org/officeDocument/2006/relationships" name="Model - OTHER" sheetId="5" state="visible" r:id="rId5"/>
    <sheet xmlns:r="http://schemas.openxmlformats.org/officeDocument/2006/relationships" name="Total Company" sheetId="6" state="visible" r:id="rId6"/>
    <sheet xmlns:r="http://schemas.openxmlformats.org/officeDocument/2006/relationships" name="Summary &amp; Chart" sheetId="7" state="visible" r:id="rId7"/>
    <sheet xmlns:r="http://schemas.openxmlformats.org/officeDocument/2006/relationships" name="Checks" sheetId="8" state="visible" r:id="rId8"/>
  </sheets>
  <definedNames>
    <definedName name="_xlnm.Print_Area" localSheetId="0">'Cover'!$A$1:$C$30</definedName>
    <definedName name="_xlnm.Print_Area" localSheetId="1">'Assumptions &amp; Sources'!$A$1:$G$87</definedName>
    <definedName name="_xlnm.Print_Titles" localSheetId="2">'Model - NA'!$3:$3</definedName>
    <definedName name="_xlnm.Print_Area" localSheetId="2">'Model - NA'!$A$1:$O$112</definedName>
    <definedName name="_xlnm.Print_Titles" localSheetId="3">'Model - INTL'!$3:$3</definedName>
    <definedName name="_xlnm.Print_Area" localSheetId="3">'Model - INTL'!$A$1:$O$112</definedName>
    <definedName name="_xlnm.Print_Titles" localSheetId="4">'Model - OTHER'!$3:$3</definedName>
    <definedName name="_xlnm.Print_Area" localSheetId="4">'Model - OTHER'!$A$1:$O$112</definedName>
    <definedName name="_xlnm.Print_Titles" localSheetId="5">'Total Company'!$3:$3</definedName>
    <definedName name="_xlnm.Print_Area" localSheetId="5">'Total Company'!$A$1:$O$128</definedName>
    <definedName name="_xlnm.Print_Area" localSheetId="6">'Summary &amp; Chart'!$A$1:$T$40</definedName>
    <definedName name="_xlnm.Print_Area" localSheetId="7">'Checks'!$A$1:$E$39</definedName>
  </definedNames>
  <calcPr calcId="124519" fullCalcOnLoad="1"/>
</workbook>
</file>

<file path=xl/styles.xml><?xml version="1.0" encoding="utf-8"?>
<styleSheet xmlns="http://schemas.openxmlformats.org/spreadsheetml/2006/main">
  <numFmts count="8">
    <numFmt numFmtId="164" formatCode="#,##0;(#,##0);&quot;-&quot;"/>
    <numFmt numFmtId="165" formatCode="0.0%;(0.0%);&quot;-&quot;"/>
    <numFmt numFmtId="166" formatCode="#,##0.0;(#,##0.0);&quot;-&quot;"/>
    <numFmt numFmtId="167" formatCode="#,##0.000;(#,##0.000);&quot;-&quot;"/>
    <numFmt numFmtId="168" formatCode="$#,##0.00;($#,##0.00);&quot;-&quot;"/>
    <numFmt numFmtId="169" formatCode="yyyy-mm-dd"/>
    <numFmt numFmtId="170" formatCode="$#,##0.00"/>
    <numFmt numFmtId="171" formatCode="0.0&quot;x&quot;"/>
  </numFmts>
  <fonts count="11">
    <font>
      <name val="Calibri"/>
      <family val="2"/>
      <color theme="1"/>
      <sz val="11"/>
      <scheme val="minor"/>
    </font>
    <font>
      <name val="Calibri"/>
      <b val="1"/>
      <color rgb="001F3864"/>
      <sz val="14"/>
    </font>
    <font>
      <name val="Calibri"/>
      <i val="1"/>
      <color rgb="00808080"/>
      <sz val="9"/>
    </font>
    <font>
      <name val="Calibri"/>
      <b val="1"/>
      <color rgb="00000000"/>
      <sz val="10"/>
    </font>
    <font>
      <name val="Calibri"/>
      <b val="1"/>
      <color rgb="001F3864"/>
      <sz val="11"/>
    </font>
    <font>
      <name val="Calibri"/>
      <color rgb="00000000"/>
      <sz val="10"/>
    </font>
    <font>
      <name val="Calibri"/>
      <color rgb="000000FF"/>
      <sz val="10"/>
    </font>
    <font>
      <name val="Calibri"/>
      <b val="1"/>
      <color rgb="000000FF"/>
      <sz val="10"/>
    </font>
    <font>
      <name val="Calibri"/>
      <color rgb="00008000"/>
      <sz val="10"/>
    </font>
    <font>
      <name val="Calibri"/>
      <b val="1"/>
      <color rgb="00008000"/>
      <sz val="10"/>
    </font>
    <font>
      <name val="Calibri"/>
      <b val="1"/>
      <color rgb="001F3864"/>
      <sz val="13"/>
    </font>
  </fonts>
  <fills count="6">
    <fill>
      <patternFill/>
    </fill>
    <fill>
      <patternFill patternType="gray125"/>
    </fill>
    <fill>
      <patternFill patternType="solid">
        <fgColor rgb="00BDD7EE"/>
      </patternFill>
    </fill>
    <fill>
      <patternFill patternType="solid">
        <fgColor rgb="00DDEBF7"/>
      </patternFill>
    </fill>
    <fill>
      <patternFill patternType="solid">
        <fgColor rgb="00F2F2F2"/>
      </patternFill>
    </fill>
    <fill>
      <patternFill patternType="solid">
        <fgColor rgb="00EDEDED"/>
      </patternFill>
    </fill>
  </fills>
  <borders count="2">
    <border>
      <left/>
      <right/>
      <top/>
      <bottom/>
      <diagonal/>
    </border>
    <border>
      <top style="thin"/>
      <bottom style="double"/>
    </border>
  </borders>
  <cellStyleXfs count="1">
    <xf numFmtId="0" fontId="0" fillId="0" borderId="0"/>
  </cellStyleXfs>
  <cellXfs count="48">
    <xf numFmtId="0" fontId="0" fillId="0" borderId="0" pivotButton="0" quotePrefix="0" xfId="0"/>
    <xf numFmtId="0" fontId="1" fillId="0" borderId="0" pivotButton="0" quotePrefix="0" xfId="0"/>
    <xf numFmtId="0" fontId="10" fillId="0" borderId="0" pivotButton="0" quotePrefix="0" xfId="0"/>
    <xf numFmtId="0" fontId="3" fillId="0" borderId="0" pivotButton="0" quotePrefix="0" xfId="0"/>
    <xf numFmtId="0" fontId="5" fillId="0" borderId="0" applyAlignment="1" pivotButton="0" quotePrefix="0" xfId="0">
      <alignment vertical="top" wrapText="1"/>
    </xf>
    <xf numFmtId="0" fontId="9" fillId="0" borderId="0" pivotButton="0" quotePrefix="0" xfId="0"/>
    <xf numFmtId="0" fontId="6" fillId="0" borderId="0" pivotButton="0" quotePrefix="0" xfId="0"/>
    <xf numFmtId="0" fontId="5" fillId="0" borderId="0" pivotButton="0" quotePrefix="0" xfId="0"/>
    <xf numFmtId="0" fontId="8" fillId="0" borderId="0" pivotButton="0" quotePrefix="0" xfId="0"/>
    <xf numFmtId="0" fontId="5" fillId="3" borderId="0" pivotButton="0" quotePrefix="0" xfId="0"/>
    <xf numFmtId="0" fontId="2" fillId="0" borderId="0" pivotButton="0" quotePrefix="0" xfId="0"/>
    <xf numFmtId="0" fontId="3" fillId="2" borderId="0" pivotButton="0" quotePrefix="0" xfId="0"/>
    <xf numFmtId="0" fontId="4" fillId="3" borderId="0" pivotButton="0" quotePrefix="0" xfId="0"/>
    <xf numFmtId="0" fontId="0" fillId="3" borderId="0" pivotButton="0" quotePrefix="0" xfId="0"/>
    <xf numFmtId="0" fontId="3" fillId="0" borderId="0" applyAlignment="1" pivotButton="0" quotePrefix="0" xfId="0">
      <alignment vertical="top" wrapText="1"/>
    </xf>
    <xf numFmtId="0" fontId="3" fillId="2" borderId="0" applyAlignment="1" pivotButton="0" quotePrefix="0" xfId="0">
      <alignment horizontal="center"/>
    </xf>
    <xf numFmtId="164" fontId="5" fillId="0" borderId="0" pivotButton="0" quotePrefix="0" xfId="0"/>
    <xf numFmtId="164" fontId="6" fillId="0" borderId="0" pivotButton="0" quotePrefix="0" xfId="0"/>
    <xf numFmtId="165" fontId="6" fillId="0" borderId="0" pivotButton="0" quotePrefix="0" xfId="0"/>
    <xf numFmtId="165" fontId="5" fillId="0" borderId="0" pivotButton="0" quotePrefix="0" xfId="0"/>
    <xf numFmtId="166" fontId="6" fillId="0" borderId="0" pivotButton="0" quotePrefix="0" xfId="0"/>
    <xf numFmtId="166" fontId="5" fillId="0" borderId="0" pivotButton="0" quotePrefix="0" xfId="0"/>
    <xf numFmtId="0" fontId="2" fillId="4" borderId="0" pivotButton="0" quotePrefix="0" xfId="0"/>
    <xf numFmtId="0" fontId="3" fillId="4" borderId="0" pivotButton="0" quotePrefix="0" xfId="0"/>
    <xf numFmtId="0" fontId="0" fillId="4" borderId="0" pivotButton="0" quotePrefix="0" xfId="0"/>
    <xf numFmtId="167" fontId="5" fillId="0" borderId="0" pivotButton="0" quotePrefix="0" xfId="0"/>
    <xf numFmtId="166" fontId="3" fillId="0" borderId="0" pivotButton="0" quotePrefix="0" xfId="0"/>
    <xf numFmtId="166" fontId="7" fillId="0" borderId="0" pivotButton="0" quotePrefix="0" xfId="0"/>
    <xf numFmtId="0" fontId="0" fillId="5" borderId="0" pivotButton="0" quotePrefix="0" xfId="0"/>
    <xf numFmtId="164" fontId="8" fillId="0" borderId="0" pivotButton="0" quotePrefix="0" xfId="0"/>
    <xf numFmtId="166" fontId="8" fillId="0" borderId="0" pivotButton="0" quotePrefix="0" xfId="0"/>
    <xf numFmtId="0" fontId="2" fillId="0" borderId="0" applyAlignment="1" pivotButton="0" quotePrefix="0" xfId="0">
      <alignment horizontal="right"/>
    </xf>
    <xf numFmtId="166" fontId="9" fillId="0" borderId="0" pivotButton="0" quotePrefix="0" xfId="0"/>
    <xf numFmtId="168" fontId="3" fillId="0" borderId="0" pivotButton="0" quotePrefix="0" xfId="0"/>
    <xf numFmtId="169" fontId="6" fillId="0" borderId="0" pivotButton="0" quotePrefix="0" xfId="0"/>
    <xf numFmtId="170" fontId="6" fillId="0" borderId="0" pivotButton="0" quotePrefix="0" xfId="0"/>
    <xf numFmtId="171" fontId="5" fillId="0" borderId="0" pivotButton="0" quotePrefix="0" xfId="0"/>
    <xf numFmtId="165" fontId="3" fillId="0" borderId="0" pivotButton="0" quotePrefix="0" xfId="0"/>
    <xf numFmtId="170" fontId="5" fillId="0" borderId="0" pivotButton="0" quotePrefix="0" xfId="0"/>
    <xf numFmtId="0" fontId="3" fillId="2" borderId="0" applyAlignment="1" pivotButton="0" quotePrefix="0" xfId="0">
      <alignment horizontal="center" wrapText="1"/>
    </xf>
    <xf numFmtId="165" fontId="8" fillId="0" borderId="0" pivotButton="0" quotePrefix="0" xfId="0"/>
    <xf numFmtId="0" fontId="3" fillId="0" borderId="1" pivotButton="0" quotePrefix="0" xfId="0"/>
    <xf numFmtId="166" fontId="3" fillId="0" borderId="1" pivotButton="0" quotePrefix="0" xfId="0"/>
    <xf numFmtId="165" fontId="3" fillId="0" borderId="1" pivotButton="0" quotePrefix="0" xfId="0"/>
    <xf numFmtId="0" fontId="0" fillId="0" borderId="1" pivotButton="0" quotePrefix="0" xfId="0"/>
    <xf numFmtId="170" fontId="8" fillId="0" borderId="0" pivotButton="0" quotePrefix="0" xfId="0"/>
    <xf numFmtId="0" fontId="5" fillId="0" borderId="0" applyAlignment="1" pivotButton="0" quotePrefix="0" xfId="0">
      <alignment horizontal="center"/>
    </xf>
    <xf numFmtId="0" fontId="3" fillId="0" borderId="0" applyAlignment="1" pivotButton="0" quotePrefix="0" xfId="0">
      <alignment horizontal="center"/>
    </xf>
  </cellXfs>
  <cellStyles count="1">
    <cellStyle name="Normal" xfId="0" builtinId="0" hidden="0"/>
  </cellStyles>
  <dxfs count="2">
    <dxf>
      <fill>
        <patternFill patternType="solid">
          <fgColor rgb="00C6EFCE"/>
        </patternFill>
      </fill>
    </dxf>
    <dxf>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Signet Baseline Company Value by Business Segment ($M)</a:t>
            </a:r>
          </a:p>
        </rich>
      </tx>
    </title>
    <plotArea>
      <barChart>
        <barDir val="col"/>
        <grouping val="clustered"/>
        <ser>
          <idx val="0"/>
          <order val="0"/>
          <tx>
            <strRef>
              <f>'Summary &amp; Chart'!C4</f>
            </strRef>
          </tx>
          <spPr>
            <a:ln xmlns:a="http://schemas.openxmlformats.org/drawingml/2006/main">
              <a:prstDash val="solid"/>
            </a:ln>
          </spPr>
          <cat>
            <numRef>
              <f>'Summary &amp; Chart'!$B$5:$B$8</f>
            </numRef>
          </cat>
          <val>
            <numRef>
              <f>'Summary &amp; Chart'!$C$5:$C$8</f>
            </numRef>
          </val>
        </ser>
        <dLbls>
          <numFmt formatCode="#,##0"/>
          <showLegendKey val="0"/>
          <showVal val="1"/>
          <showCatName val="0"/>
          <showSerName val="0"/>
          <showPercent val="0"/>
          <showBubbleSize val="0"/>
          <showLeaderLines val="0"/>
        </dLbls>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title>
          <tx>
            <rich>
              <a:bodyPr xmlns:a="http://schemas.openxmlformats.org/drawingml/2006/main"/>
              <a:p xmlns:a="http://schemas.openxmlformats.org/drawingml/2006/main">
                <a:pPr>
                  <a:defRPr/>
                </a:pPr>
                <a:r>
                  <a:t>$ millions</a:t>
                </a:r>
              </a:p>
            </rich>
          </tx>
        </title>
        <numFmt formatCode="#,##0" sourceLinked="0"/>
        <majorTickMark val="none"/>
        <minorTickMark val="none"/>
        <crossAx val="10"/>
      </valAx>
    </plotArea>
    <plotVisOnly val="1"/>
    <dispBlanksAs val="gap"/>
  </chart>
</chartSpace>
</file>

<file path=xl/charts/chart2.xml><?xml version="1.0" encoding="utf-8"?>
<chartSpace xmlns="http://schemas.openxmlformats.org/drawingml/2006/chart">
  <style val="12"/>
  <chart>
    <title>
      <tx>
        <rich>
          <a:bodyPr xmlns:a="http://schemas.openxmlformats.org/drawingml/2006/main"/>
          <a:p xmlns:a="http://schemas.openxmlformats.org/drawingml/2006/main">
            <a:pPr>
              <a:defRPr/>
            </a:pPr>
            <a:r>
              <a:t>Projected Total Company Sales and Net Income ($M)</a:t>
            </a:r>
          </a:p>
        </rich>
      </tx>
    </title>
    <plotArea>
      <lineChart>
        <grouping val="standard"/>
        <ser>
          <idx val="0"/>
          <order val="0"/>
          <tx>
            <strRef>
              <f>'Summary &amp; Chart'!B15</f>
            </strRef>
          </tx>
          <spPr>
            <a:ln xmlns:a="http://schemas.openxmlformats.org/drawingml/2006/main">
              <a:prstDash val="solid"/>
            </a:ln>
          </spPr>
          <marker>
            <symbol val="none"/>
            <spPr>
              <a:ln xmlns:a="http://schemas.openxmlformats.org/drawingml/2006/main">
                <a:prstDash val="solid"/>
              </a:ln>
            </spPr>
          </marker>
          <cat>
            <numRef>
              <f>'Summary &amp; Chart'!$C$14:$M$14</f>
            </numRef>
          </cat>
          <val>
            <numRef>
              <f>'Summary &amp; Chart'!$C$15:$M$15</f>
            </numRef>
          </val>
        </ser>
        <ser>
          <idx val="1"/>
          <order val="1"/>
          <tx>
            <strRef>
              <f>'Summary &amp; Chart'!B16</f>
            </strRef>
          </tx>
          <spPr>
            <a:ln xmlns:a="http://schemas.openxmlformats.org/drawingml/2006/main">
              <a:prstDash val="solid"/>
            </a:ln>
          </spPr>
          <marker>
            <symbol val="none"/>
            <spPr>
              <a:ln xmlns:a="http://schemas.openxmlformats.org/drawingml/2006/main">
                <a:prstDash val="solid"/>
              </a:ln>
            </spPr>
          </marker>
          <cat>
            <numRef>
              <f>'Summary &amp; Chart'!$C$14:$M$14</f>
            </numRef>
          </cat>
          <val>
            <numRef>
              <f>'Summary &amp; Chart'!$C$16:$M$16</f>
            </numRef>
          </val>
        </ser>
        <axId val="10"/>
        <axId val="100"/>
      </lineChart>
      <catAx>
        <axId val="10"/>
        <scaling>
          <orientation val="minMax"/>
        </scaling>
        <delete val="0"/>
        <axPos val="l"/>
        <majorTickMark val="none"/>
        <minorTickMark val="none"/>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 millions</a:t>
                </a:r>
              </a:p>
            </rich>
          </tx>
        </title>
        <numFmt formatCode="#,##0" sourceLinked="0"/>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8</col>
      <colOff>0</colOff>
      <row>3</row>
      <rowOff>0</rowOff>
    </from>
    <ext cx="6480000" cy="34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8</col>
      <colOff>0</colOff>
      <row>19</row>
      <rowOff>0</rowOff>
    </from>
    <ext cx="6480000" cy="32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B1:C30"/>
  <sheetViews>
    <sheetView workbookViewId="0">
      <selection activeCell="A1" sqref="A1"/>
    </sheetView>
  </sheetViews>
  <sheetFormatPr baseColWidth="8" defaultRowHeight="15"/>
  <cols>
    <col width="3" customWidth="1" min="1" max="1"/>
    <col width="26" customWidth="1" min="2" max="2"/>
    <col width="120" customWidth="1" min="3" max="3"/>
  </cols>
  <sheetData>
    <row r="1">
      <c r="B1" s="1" t="inlineStr">
        <is>
          <t>Signet Jewelers Limited (NYSE: SIG)</t>
        </is>
      </c>
    </row>
    <row r="2">
      <c r="B2" s="2" t="inlineStr">
        <is>
          <t>Baseline Value-Based ERM Model - Case Assignment #3(a)</t>
        </is>
      </c>
    </row>
    <row r="4">
      <c r="B4" s="3" t="inlineStr">
        <is>
          <t>Course</t>
        </is>
      </c>
      <c r="C4" s="4" t="inlineStr">
        <is>
          <t>Columbia University ERMC PS5900 Capstone, Fall 2026 - Case Assignment #3(a): Baseline value-based ERM model</t>
        </is>
      </c>
    </row>
    <row r="5">
      <c r="B5" s="3" t="inlineStr">
        <is>
          <t>Team</t>
        </is>
      </c>
      <c r="C5" s="4" t="inlineStr">
        <is>
          <t>Case Team #2: Meher Jain, Zainab Razzaque, Stanley Weng, Jana Chamsi Bacha, Anderson Chan</t>
        </is>
      </c>
    </row>
    <row r="6">
      <c r="B6" s="3" t="inlineStr">
        <is>
          <t>Deliverable date</t>
        </is>
      </c>
      <c r="C6" s="4" t="inlineStr">
        <is>
          <t>October 13, 2026  (due Monday, October 19, 2026, 11pm ET (day before Session 7))</t>
        </is>
      </c>
    </row>
    <row r="7">
      <c r="B7" s="3" t="inlineStr">
        <is>
          <t>Model units</t>
        </is>
      </c>
      <c r="C7" s="4" t="inlineStr">
        <is>
          <t>$ millions to one decimal; rates to 0.1%; store counts in units; fiscal years end about January 31 (FY2026A = actual year ended January 31, 2026; FY2027-FY2036 = ten projected years).</t>
        </is>
      </c>
    </row>
    <row r="8">
      <c r="B8" s="3" t="inlineStr">
        <is>
          <t>Valuation approach</t>
        </is>
      </c>
      <c r="C8" s="4" t="inlineStr">
        <is>
          <t>Profits released: each segment distributes 100% of net income to shareholders every year, so the simplified balance sheet is static, and segment value = NPV at the segment cost of equity of FY2027-FY2036 distributable cash flows plus the present value of terminal equity (= FY2036 shareholders' equity). Company value is the sum of the three segment values; the choice is justified because Signet's dividends plus buybacks have run at roughly 85-110% of underlying earnings (FY2026: $257M vs $294M net income; H1 FY2027: $197M vs about $84M).</t>
        </is>
      </c>
    </row>
    <row r="9"/>
    <row r="10">
      <c r="B10" s="3" t="inlineStr">
        <is>
          <t>Model integrity status</t>
        </is>
      </c>
      <c r="C10" s="5">
        <f>IF('Checks'!C38,"ALL CHECKS PASS","CHECK FAILURES - see Checks tab")</f>
        <v/>
      </c>
    </row>
    <row r="11"/>
    <row r="12">
      <c r="B12" s="3" t="inlineStr">
        <is>
          <t>Colour legend</t>
        </is>
      </c>
    </row>
    <row r="13">
      <c r="B13" s="6" t="inlineStr">
        <is>
          <t>Blue font</t>
        </is>
      </c>
      <c r="C13" s="7" t="inlineStr">
        <is>
          <t>Hard-coded input (assumption, FY2026A actual or snapshot)</t>
        </is>
      </c>
    </row>
    <row r="14">
      <c r="B14" s="7" t="inlineStr">
        <is>
          <t>Black font</t>
        </is>
      </c>
      <c r="C14" s="7" t="inlineStr">
        <is>
          <t>Formula within the tab</t>
        </is>
      </c>
    </row>
    <row r="15">
      <c r="B15" s="8" t="inlineStr">
        <is>
          <t>Green font</t>
        </is>
      </c>
      <c r="C15" s="7" t="inlineStr">
        <is>
          <t>Link to another tab</t>
        </is>
      </c>
    </row>
    <row r="16">
      <c r="B16" s="9" t="inlineStr">
        <is>
          <t>Light-blue fill</t>
        </is>
      </c>
      <c r="C16" s="7" t="inlineStr">
        <is>
          <t>Section header; grey fill = sub-header; grey cells on the Total tab = intentionally blank assumptions</t>
        </is>
      </c>
    </row>
    <row r="17"/>
    <row r="18">
      <c r="B18" s="3" t="inlineStr">
        <is>
          <t>Tab map</t>
        </is>
      </c>
    </row>
    <row r="19">
      <c r="B19" s="7" t="inlineStr">
        <is>
          <t>Cover</t>
        </is>
      </c>
      <c r="C19" s="4" t="inlineStr">
        <is>
          <t>This page.</t>
        </is>
      </c>
    </row>
    <row r="20">
      <c r="B20" s="7" t="inlineStr">
        <is>
          <t>Assumptions &amp; Sources</t>
        </is>
      </c>
      <c r="C20" s="4" t="inlineStr">
        <is>
          <t>Every baseline assumption with value, rationale and APA source; reclassifications; questions for the lecturer/TAs; limitations; reference list.</t>
        </is>
      </c>
    </row>
    <row r="21">
      <c r="B21" s="7" t="inlineStr">
        <is>
          <t>Model - NA</t>
        </is>
      </c>
      <c r="C21" s="4" t="inlineStr">
        <is>
          <t>North America segment: baseline assumptions -&gt; shock -&gt; scenario -&gt; projection, valuation and balance sheet. North America reportable segment: Kay, Zales, Jared, Diamonds Direct, Banter by Piercing Pagoda, Rocksbox, the digital brands James Allen and Blue Nile, and Peoples Jewellers (Canada).</t>
        </is>
      </c>
    </row>
    <row r="22">
      <c r="B22" s="7" t="inlineStr">
        <is>
          <t>Model - INTL</t>
        </is>
      </c>
      <c r="C22" s="4" t="inlineStr">
        <is>
          <t>International segment, identical layout. International reportable segment: H.Samuel and Ernest Jones stores and e-commerce in the UK and the Republic of Ireland.</t>
        </is>
      </c>
    </row>
    <row r="23">
      <c r="B23" s="7" t="inlineStr">
        <is>
          <t>Model - OTHER</t>
        </is>
      </c>
      <c r="C23" s="4" t="inlineStr">
        <is>
          <t>Other / corporate, identical layout. 'Other' reportable segment (rough-diamond purchasing and polishing subsidiaries selling to third parties) plus corporate and unallocated costs. No stores, no e-commerce, no services: those rows are kept at zero.</t>
        </is>
      </c>
    </row>
    <row r="24">
      <c r="B24" s="7" t="inlineStr">
        <is>
          <t>Total Company</t>
        </is>
      </c>
      <c r="C24" s="4" t="inlineStr">
        <is>
          <t>Same layout; assumptions blank; every financial line = sum of the three segments; EPS, ROE, payout and the actual-market-valuation check.</t>
        </is>
      </c>
    </row>
    <row r="25">
      <c r="B25" s="7" t="inlineStr">
        <is>
          <t>Summary &amp; Chart</t>
        </is>
      </c>
      <c r="C25" s="4" t="inlineStr">
        <is>
          <t>Segment value table, native chart 'Signet Baseline Company Value by Business Segment ($M)', sales/net income chart, sensitivity table.</t>
        </is>
      </c>
    </row>
    <row r="26">
      <c r="B26" s="7" t="inlineStr">
        <is>
          <t>Checks</t>
        </is>
      </c>
      <c r="C26" s="4" t="inlineStr">
        <is>
          <t>Formula-driven TRUE/FALSE integrity checks feeding the status cell above.</t>
        </is>
      </c>
    </row>
    <row r="27"/>
    <row r="28">
      <c r="B28" s="3" t="inlineStr">
        <is>
          <t>Row layout</t>
        </is>
      </c>
      <c r="C28" s="4" t="inlineStr">
        <is>
          <t>All four model tabs share one row layout: baseline assumptions rows 6-20, shocks rows 23-37, scenario rows 40-54, projection rows 58-112 (total sales row 70, operating income row 80, net income row 87, segment value rows 98-101, equity row 110). Risk tabs in 3(d) can therefore reference the same cells across segments.</t>
        </is>
      </c>
    </row>
    <row r="29"/>
    <row r="30">
      <c r="B30" s="3" t="inlineStr">
        <is>
          <t>Reproducibility</t>
        </is>
      </c>
      <c r="C30" s="4" t="inlineStr">
        <is>
          <t>Generated by build/build_model.py (openpyxl); all inputs are in one dictionary at the top of that script with the source beside each. The workbook contains live Excel formulas only (no macros, no external links). Excel recalculates on open.</t>
        </is>
      </c>
    </row>
  </sheetData>
  <conditionalFormatting sqref="C10">
    <cfRule type="cellIs" priority="1" operator="equal" dxfId="0">
      <formula>"ALL CHECKS PASS"</formula>
    </cfRule>
    <cfRule type="cellIs" priority="2" operator="notEqual" dxfId="1">
      <formula>"ALL CHECKS PASS"</formula>
    </cfRule>
  </conditionalFormatting>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G86"/>
  <sheetViews>
    <sheetView workbookViewId="0">
      <pane ySplit="4" topLeftCell="A5" activePane="bottomLeft" state="frozen"/>
      <selection pane="bottomLeft" activeCell="A1" sqref="A1"/>
    </sheetView>
  </sheetViews>
  <sheetFormatPr baseColWidth="8" defaultRowHeight="15"/>
  <cols>
    <col width="4" customWidth="1" min="1" max="1"/>
    <col width="16" customWidth="1" min="2" max="2"/>
    <col width="36" customWidth="1" min="3" max="3"/>
    <col width="12" customWidth="1" min="4" max="4"/>
    <col width="34" customWidth="1" min="5" max="5"/>
    <col width="90" customWidth="1" min="6" max="6"/>
    <col width="42" customWidth="1" min="7" max="7"/>
  </cols>
  <sheetData>
    <row r="1">
      <c r="A1" s="1" t="inlineStr">
        <is>
          <t>Baseline assumptions, rationale and sources</t>
        </is>
      </c>
    </row>
    <row r="2">
      <c r="A2" s="10" t="inlineStr">
        <is>
          <t>One row per assumption. Values are repeated in blue on the model tabs; this tab is documentation (no model formulas depend on it). APA 7th in-text citations; full reference list at the bottom.</t>
        </is>
      </c>
    </row>
    <row r="4">
      <c r="A4" s="11" t="inlineStr">
        <is>
          <t>#</t>
        </is>
      </c>
      <c r="B4" s="11" t="inlineStr">
        <is>
          <t>Group</t>
        </is>
      </c>
      <c r="C4" s="11" t="inlineStr">
        <is>
          <t>Assumption</t>
        </is>
      </c>
      <c r="D4" s="11" t="inlineStr">
        <is>
          <t>Segment(s)</t>
        </is>
      </c>
      <c r="E4" s="11" t="inlineStr">
        <is>
          <t>Value(s) by year or rule</t>
        </is>
      </c>
      <c r="F4" s="11" t="inlineStr">
        <is>
          <t>Rationale</t>
        </is>
      </c>
      <c r="G4" s="11" t="inlineStr">
        <is>
          <t>Source (APA in-text)</t>
        </is>
      </c>
    </row>
    <row r="5">
      <c r="A5" s="4" t="n">
        <v>1</v>
      </c>
      <c r="B5" s="4" t="inlineStr">
        <is>
          <t>Revenue drivers</t>
        </is>
      </c>
      <c r="C5" s="4" t="inlineStr">
        <is>
          <t>Store count roll-forward: gross openings</t>
        </is>
      </c>
      <c r="D5" s="4" t="inlineStr">
        <is>
          <t>NA</t>
        </is>
      </c>
      <c r="E5" s="4" t="inlineStr">
        <is>
          <t>FY27 6; FY28 10; FY29 10; FY30+ 12 per year</t>
        </is>
      </c>
      <c r="F5" s="4" t="inlineStr">
        <is>
          <t>Signet opened 14 stores in FY2026 and only 3 in H1 FY2027 while it reorients toward off-mall formats; openings recover modestly as repositioned stores open.</t>
        </is>
      </c>
      <c r="G5" s="4" t="inlineStr">
        <is>
          <t>Signet Jewelers Limited (2026a, 2026d)</t>
        </is>
      </c>
    </row>
    <row r="6">
      <c r="A6" s="4" t="n">
        <v>2</v>
      </c>
      <c r="B6" s="4" t="inlineStr">
        <is>
          <t>Revenue drivers</t>
        </is>
      </c>
      <c r="C6" s="4" t="inlineStr">
        <is>
          <t>Store count roll-forward: closures</t>
        </is>
      </c>
      <c r="D6" s="4" t="inlineStr">
        <is>
          <t>NA</t>
        </is>
      </c>
      <c r="E6" s="4" t="inlineStr">
        <is>
          <t>FY27 70; FY28 50; FY29 40; FY30 30; FY31 25; FY32+ 20</t>
        </is>
      </c>
      <c r="F6" s="4" t="inlineStr">
        <is>
          <t>64 closures in FY2026 and 50 already in H1 FY2027; management guides to a low-single-digit decline in net square footage. Closures taper as the mall-heavy portion of the fleet shrinks.</t>
        </is>
      </c>
      <c r="G6" s="4" t="inlineStr">
        <is>
          <t>Signet Jewelers Limited (2026a, 2026c, 2026d)</t>
        </is>
      </c>
    </row>
    <row r="7">
      <c r="A7" s="4" t="n">
        <v>3</v>
      </c>
      <c r="B7" s="4" t="inlineStr">
        <is>
          <t>Revenue drivers</t>
        </is>
      </c>
      <c r="C7" s="4" t="inlineStr">
        <is>
          <t>Store count roll-forward</t>
        </is>
      </c>
      <c r="D7" s="4" t="inlineStr">
        <is>
          <t>INTL</t>
        </is>
      </c>
      <c r="E7" s="4" t="inlineStr">
        <is>
          <t>Openings 2 per year; closures 4 (FY27), 5 (FY28-FY31), 4 thereafter</t>
        </is>
      </c>
      <c r="F7" s="4" t="inlineStr">
        <is>
          <t>International closed 10 stores in FY2026 and 3 in H1 FY2027 with 2 openings; a slow net reduction of the UK/ROI estate continues.</t>
        </is>
      </c>
      <c r="G7" s="4" t="inlineStr">
        <is>
          <t>Signet Jewelers Limited (2026a, 2026d)</t>
        </is>
      </c>
    </row>
    <row r="8">
      <c r="A8" s="4" t="n">
        <v>4</v>
      </c>
      <c r="B8" s="4" t="inlineStr">
        <is>
          <t>Revenue drivers</t>
        </is>
      </c>
      <c r="C8" s="4" t="inlineStr">
        <is>
          <t>Store count roll-forward</t>
        </is>
      </c>
      <c r="D8" s="4" t="inlineStr">
        <is>
          <t>OTHER</t>
        </is>
      </c>
      <c r="E8" s="4" t="inlineStr">
        <is>
          <t>Zero stores, openings and closures</t>
        </is>
      </c>
      <c r="F8" s="4" t="inlineStr">
        <is>
          <t>The Other segment and corporate have no retail stores; rows kept at zero per the 'same layout' guideline.</t>
        </is>
      </c>
      <c r="G8" s="4" t="inlineStr">
        <is>
          <t>Signet Jewelers Limited (2026a)</t>
        </is>
      </c>
    </row>
    <row r="9">
      <c r="A9" s="4" t="n">
        <v>5</v>
      </c>
      <c r="B9" s="4" t="inlineStr">
        <is>
          <t>Revenue drivers</t>
        </is>
      </c>
      <c r="C9" s="4" t="inlineStr">
        <is>
          <t>Same-store sales growth (sales per average store)</t>
        </is>
      </c>
      <c r="D9" s="4" t="inlineStr">
        <is>
          <t>NA</t>
        </is>
      </c>
      <c r="E9" s="4" t="inlineStr">
        <is>
          <t>FY27 1.5%; FY28+ 2.0%</t>
        </is>
      </c>
      <c r="F9" s="4" t="inlineStr">
        <is>
          <t>FY2026 NA same-store sales +1.2%, Q2 FY2027 +2.2%, FY2027 guidance flat to +2.5%. Long-run 2.0% is in line with FOMC PCE inflation of 2.1-2.3% and a mature, share-gaining retailer; consensus revenue growth is 1.2-1.6% a year after net closures.</t>
        </is>
      </c>
      <c r="G9" s="4" t="inlineStr">
        <is>
          <t>Signet Jewelers Limited (2026b, 2026c); Board of Governors of the Federal Reserve System (2026b); Yahoo Finance (2026)</t>
        </is>
      </c>
    </row>
    <row r="10">
      <c r="A10" s="4" t="n">
        <v>6</v>
      </c>
      <c r="B10" s="4" t="inlineStr">
        <is>
          <t>Revenue drivers</t>
        </is>
      </c>
      <c r="C10" s="4" t="inlineStr">
        <is>
          <t>Same-store sales growth</t>
        </is>
      </c>
      <c r="D10" s="4" t="inlineStr">
        <is>
          <t>INTL</t>
        </is>
      </c>
      <c r="E10" s="4" t="inlineStr">
        <is>
          <t>2.0% every year</t>
        </is>
      </c>
      <c r="F10" s="4" t="inlineStr">
        <is>
          <t>FY2026 International same-store sales +2.6% (5.3% constant-currency total growth); UK CPI about 3% in early 2027 falling toward 2%; IMF UK GDP 1.3-1.5%.</t>
        </is>
      </c>
      <c r="G10" s="4" t="inlineStr">
        <is>
          <t>Signet Jewelers Limited (2026b); International Monetary Fund (2026a); Vanguard (2026)</t>
        </is>
      </c>
    </row>
    <row r="11">
      <c r="A11" s="4" t="n">
        <v>7</v>
      </c>
      <c r="B11" s="4" t="inlineStr">
        <is>
          <t>Revenue drivers</t>
        </is>
      </c>
      <c r="C11" s="4" t="inlineStr">
        <is>
          <t>E-commerce merchandise sales growth</t>
        </is>
      </c>
      <c r="D11" s="4" t="inlineStr">
        <is>
          <t>NA</t>
        </is>
      </c>
      <c r="E11" s="4" t="inlineStr">
        <is>
          <t>FY27 3.0%; FY28+ 4.0%</t>
        </is>
      </c>
      <c r="F11" s="4" t="inlineStr">
        <is>
          <t>E-commerce is 21.8% of sales. The digital brands (James Allen, Blue Nile, $481.5M) shrank and were impaired in FY2025-26 and are now stabilised under 'Grow Brand Love'; omnichannel growth of the store brands lifts the blended rate slightly above store growth.</t>
        </is>
      </c>
      <c r="G11" s="4" t="inlineStr">
        <is>
          <t>Signet Jewelers Limited (2026a, 2026f)</t>
        </is>
      </c>
    </row>
    <row r="12">
      <c r="A12" s="4" t="n">
        <v>8</v>
      </c>
      <c r="B12" s="4" t="inlineStr">
        <is>
          <t>Revenue drivers</t>
        </is>
      </c>
      <c r="C12" s="4" t="inlineStr">
        <is>
          <t>E-commerce merchandise sales growth</t>
        </is>
      </c>
      <c r="D12" s="4" t="inlineStr">
        <is>
          <t>INTL</t>
        </is>
      </c>
      <c r="E12" s="4" t="inlineStr">
        <is>
          <t>3.0% every year</t>
        </is>
      </c>
      <c r="F12" s="4" t="inlineStr">
        <is>
          <t>H.Samuel and Ernest Jones online growth assumed at nominal UK demand growth.</t>
        </is>
      </c>
      <c r="G12" s="4" t="inlineStr">
        <is>
          <t>Signet Jewelers Limited (2026a)</t>
        </is>
      </c>
    </row>
    <row r="13">
      <c r="A13" s="4" t="n">
        <v>9</v>
      </c>
      <c r="B13" s="4" t="inlineStr">
        <is>
          <t>Revenue drivers</t>
        </is>
      </c>
      <c r="C13" s="4" t="inlineStr">
        <is>
          <t>Services attach rate (% of merchandise sales)</t>
        </is>
      </c>
      <c r="D13" s="4" t="inlineStr">
        <is>
          <t>NA / INTL</t>
        </is>
      </c>
      <c r="E13" s="4" t="inlineStr">
        <is>
          <t>NA 13.6% (FY26A) -&gt; 13.8% (FY27) -&gt; 14.0% (FY28+); INTL 11.1% flat</t>
        </is>
      </c>
      <c r="F13" s="4" t="inlineStr">
        <is>
          <t>Services revenue grew 7.8% to $803.5M in FY2026 on extended-service-plan strength while merchandise was flat, so attach rises modestly then stabilises. International attach set lower (less ESP penetration).</t>
        </is>
      </c>
      <c r="G13" s="4" t="inlineStr">
        <is>
          <t>Signet Jewelers Limited (2026a, 2026b)</t>
        </is>
      </c>
    </row>
    <row r="14">
      <c r="A14" s="4" t="n">
        <v>10</v>
      </c>
      <c r="B14" s="4" t="inlineStr">
        <is>
          <t>Revenue drivers</t>
        </is>
      </c>
      <c r="C14" s="4" t="inlineStr">
        <is>
          <t>Other (diamond sourcing) revenue growth</t>
        </is>
      </c>
      <c r="D14" s="4" t="inlineStr">
        <is>
          <t>OTHER</t>
        </is>
      </c>
      <c r="E14" s="4" t="inlineStr">
        <is>
          <t>2.0% every year</t>
        </is>
      </c>
      <c r="F14" s="4" t="inlineStr">
        <is>
          <t>Third-party rough/polished diamond sales ($39.6M) grow with inflation; natural-diamond price weakness caps upside.</t>
        </is>
      </c>
      <c r="G14" s="4" t="inlineStr">
        <is>
          <t>Signet Jewelers Limited (2026a)</t>
        </is>
      </c>
    </row>
    <row r="15">
      <c r="A15" s="4" t="n">
        <v>11</v>
      </c>
      <c r="B15" s="4" t="inlineStr">
        <is>
          <t>Expense drivers</t>
        </is>
      </c>
      <c r="C15" s="4" t="inlineStr">
        <is>
          <t>Cost of sales % of total sales</t>
        </is>
      </c>
      <c r="D15" s="4" t="inlineStr">
        <is>
          <t>NA</t>
        </is>
      </c>
      <c r="E15" s="4" t="inlineStr">
        <is>
          <t>FY26A 59.8% -&gt; 59.3% from FY27</t>
        </is>
      </c>
      <c r="F15" s="4" t="inlineStr">
        <is>
          <t>Consolidated gross margin was 39.5% (39.2% FY25). The new Bread Financial credit agreement adds $30-40M of margin/non-comp revenue from FY2027 (about 0.5pp of NA sales); gold-cost and tariff headwinds assumed to offset the services mix benefit thereafter.</t>
        </is>
      </c>
      <c r="G15" s="4" t="inlineStr">
        <is>
          <t>Signet Jewelers Limited (2026a, 2026c); CNBC (2026)</t>
        </is>
      </c>
    </row>
    <row r="16">
      <c r="A16" s="4" t="n">
        <v>12</v>
      </c>
      <c r="B16" s="4" t="inlineStr">
        <is>
          <t>Expense drivers</t>
        </is>
      </c>
      <c r="C16" s="4" t="inlineStr">
        <is>
          <t>Cost of sales % of total sales</t>
        </is>
      </c>
      <c r="D16" s="4" t="inlineStr">
        <is>
          <t>INTL</t>
        </is>
      </c>
      <c r="E16" s="4" t="inlineStr">
        <is>
          <t>68.0% flat</t>
        </is>
      </c>
      <c r="F16" s="4" t="inlineStr">
        <is>
          <t>International gross margin estimated at 32% (FY2025 implied about 30% from segment SG&amp;A of $103.1M and operating income of $1.0M incl. $7.8M one-offs); UK fashion/watch mix is lower-margin than NA bridal.</t>
        </is>
      </c>
      <c r="G16" s="4" t="inlineStr">
        <is>
          <t>Signet Jewelers Limited (2025a, 2026b)</t>
        </is>
      </c>
    </row>
    <row r="17">
      <c r="A17" s="4" t="n">
        <v>13</v>
      </c>
      <c r="B17" s="4" t="inlineStr">
        <is>
          <t>Expense drivers</t>
        </is>
      </c>
      <c r="C17" s="4" t="inlineStr">
        <is>
          <t>Cost of sales % of total sales</t>
        </is>
      </c>
      <c r="D17" s="4" t="inlineStr">
        <is>
          <t>OTHER</t>
        </is>
      </c>
      <c r="E17" s="4" t="inlineStr">
        <is>
          <t>92.0% flat</t>
        </is>
      </c>
      <c r="F17" s="4" t="inlineStr">
        <is>
          <t>Diamond trading is a low-margin pass-through activity.</t>
        </is>
      </c>
      <c r="G17" s="4" t="inlineStr">
        <is>
          <t>Team estimate</t>
        </is>
      </c>
    </row>
    <row r="18">
      <c r="A18" s="4" t="n">
        <v>14</v>
      </c>
      <c r="B18" s="4" t="inlineStr">
        <is>
          <t>Expense drivers</t>
        </is>
      </c>
      <c r="C18" s="4" t="inlineStr">
        <is>
          <t>Variable SG&amp;A % of sales</t>
        </is>
      </c>
      <c r="D18" s="4" t="inlineStr">
        <is>
          <t>NA / INTL / OTHER</t>
        </is>
      </c>
      <c r="E18" s="4" t="inlineStr">
        <is>
          <t>NA 20.0%; INTL 15.0%; OTHER 0%</t>
        </is>
      </c>
      <c r="F18" s="4" t="inlineStr">
        <is>
          <t>Store payroll, advertising and credit costs move with sales; the remainder of FY2026 SG&amp;A (NA $731.5M, INTL $51.4M, corporate $56.0M) is treated as fixed. Split is a team estimate consistent with Session 6 'marginal vs fixed' guidance.</t>
        </is>
      </c>
      <c r="G18" s="4" t="inlineStr">
        <is>
          <t>Signet Jewelers Limited (2026a); Columbia University Capstone (2026b)</t>
        </is>
      </c>
    </row>
    <row r="19">
      <c r="A19" s="4" t="n">
        <v>15</v>
      </c>
      <c r="B19" s="4" t="inlineStr">
        <is>
          <t>Expense drivers</t>
        </is>
      </c>
      <c r="C19" s="4" t="inlineStr">
        <is>
          <t>Fixed SG&amp;A inflation</t>
        </is>
      </c>
      <c r="D19" s="4" t="inlineStr">
        <is>
          <t>NA / OTHER</t>
        </is>
      </c>
      <c r="E19" s="4" t="inlineStr">
        <is>
          <t>2.5% (FY27), 2.3% (FY28), 2.1% (FY29), 2.0% thereafter</t>
        </is>
      </c>
      <c r="F19" s="4" t="inlineStr">
        <is>
          <t>FOMC median PCE inflation 3.7% (2026), 2.3% (2027), 2.1% (2028), 2.0% long run; FY2026 SG&amp;A growth was inflated by an incentive-compensation reset that is not repeated.</t>
        </is>
      </c>
      <c r="G19" s="4" t="inlineStr">
        <is>
          <t>Board of Governors of the Federal Reserve System (2026b); Signet Jewelers Limited (2026a)</t>
        </is>
      </c>
    </row>
    <row r="20">
      <c r="A20" s="4" t="n">
        <v>16</v>
      </c>
      <c r="B20" s="4" t="inlineStr">
        <is>
          <t>Expense drivers</t>
        </is>
      </c>
      <c r="C20" s="4" t="inlineStr">
        <is>
          <t>Fixed SG&amp;A inflation</t>
        </is>
      </c>
      <c r="D20" s="4" t="inlineStr">
        <is>
          <t>INTL</t>
        </is>
      </c>
      <c r="E20" s="4" t="inlineStr">
        <is>
          <t>3.0% (FY27), 2.5% (FY28), 2.0% thereafter</t>
        </is>
      </c>
      <c r="F20" s="4" t="inlineStr">
        <is>
          <t>UK CPI about 3% in early 2027 falling toward 1.7-2% by 2028.</t>
        </is>
      </c>
      <c r="G20" s="4" t="inlineStr">
        <is>
          <t>Vanguard (2026)</t>
        </is>
      </c>
    </row>
    <row r="21">
      <c r="A21" s="4" t="n">
        <v>17</v>
      </c>
      <c r="B21" s="4" t="inlineStr">
        <is>
          <t>Expense drivers</t>
        </is>
      </c>
      <c r="C21" s="4" t="inlineStr">
        <is>
          <t>Cost-savings initiatives</t>
        </is>
      </c>
      <c r="D21" s="4" t="inlineStr">
        <is>
          <t>All</t>
        </is>
      </c>
      <c r="E21" s="4" t="inlineStr">
        <is>
          <t>0 in every year</t>
        </is>
      </c>
      <c r="F21" s="4" t="inlineStr">
        <is>
          <t>No quantified savings programme is disclosed; the row is kept so that 3(d) scenarios can model restructuring responses.</t>
        </is>
      </c>
      <c r="G21" s="4" t="inlineStr">
        <is>
          <t>Signet Jewelers Limited (2026a)</t>
        </is>
      </c>
    </row>
    <row r="22">
      <c r="A22" s="4" t="n">
        <v>18</v>
      </c>
      <c r="B22" s="4" t="inlineStr">
        <is>
          <t>Expense drivers</t>
        </is>
      </c>
      <c r="C22" s="4" t="inlineStr">
        <is>
          <t>Other operating income/(expense), one-time</t>
        </is>
      </c>
      <c r="D22" s="4" t="inlineStr">
        <is>
          <t>NA</t>
        </is>
      </c>
      <c r="E22" s="4" t="inlineStr">
        <is>
          <t>+$30M in FY27; 0 thereafter</t>
        </is>
      </c>
      <c r="F22" s="4" t="inlineStr">
        <is>
          <t>Management expects about $30M of IEEPA tariff refunds in FY2027 ($20M received by Q2); no further impairments or restructuring assumed in the baseline.</t>
        </is>
      </c>
      <c r="G22" s="4" t="inlineStr">
        <is>
          <t>Signet Jewelers Limited (2026d); CNBC (2026)</t>
        </is>
      </c>
    </row>
    <row r="23">
      <c r="A23" s="4" t="n">
        <v>19</v>
      </c>
      <c r="B23" s="4" t="inlineStr">
        <is>
          <t>Interest</t>
        </is>
      </c>
      <c r="C23" s="4" t="inlineStr">
        <is>
          <t>Net yield on invested assets</t>
        </is>
      </c>
      <c r="D23" s="4" t="inlineStr">
        <is>
          <t>All</t>
        </is>
      </c>
      <c r="E23" s="4" t="inlineStr">
        <is>
          <t>0.7% of prior-year cash</t>
        </is>
      </c>
      <c r="F23" s="4" t="inlineStr">
        <is>
          <t>Calibrated: net interest income was only $4.0M in FY2026 and $9.8M in FY2025 on $600-900M of cash because much of the balance is operating float and fees offset income. Conservative versus a 4-5% money-market yield.</t>
        </is>
      </c>
      <c r="G23" s="4" t="inlineStr">
        <is>
          <t>Signet Jewelers Limited (2026b)</t>
        </is>
      </c>
    </row>
    <row r="24">
      <c r="A24" s="4" t="n">
        <v>20</v>
      </c>
      <c r="B24" s="4" t="inlineStr">
        <is>
          <t>Interest</t>
        </is>
      </c>
      <c r="C24" s="4" t="inlineStr">
        <is>
          <t>Interest rate on debt</t>
        </is>
      </c>
      <c r="D24" s="4" t="inlineStr">
        <is>
          <t>All</t>
        </is>
      </c>
      <c r="E24" s="4" t="inlineStr">
        <is>
          <t>6.5% of prior-year debt</t>
        </is>
      </c>
      <c r="F24" s="4" t="inlineStr">
        <is>
          <t>No funded debt at FY2026A; rate reflects SOFR about 4% plus an ABL spread, kept for liquidity/interest-rate shocks.</t>
        </is>
      </c>
      <c r="G24" s="4" t="inlineStr">
        <is>
          <t>Signet Jewelers Limited (2026a); Board of Governors of the Federal Reserve System (2026b)</t>
        </is>
      </c>
    </row>
    <row r="25">
      <c r="A25" s="4" t="n">
        <v>21</v>
      </c>
      <c r="B25" s="4" t="inlineStr">
        <is>
          <t>Tax</t>
        </is>
      </c>
      <c r="C25" s="4" t="inlineStr">
        <is>
          <t>Effective income tax rate</t>
        </is>
      </c>
      <c r="D25" s="4" t="inlineStr">
        <is>
          <t>NA / OTHER</t>
        </is>
      </c>
      <c r="E25" s="4" t="inlineStr">
        <is>
          <t>24.0%</t>
        </is>
      </c>
      <c r="F25" s="4" t="inlineStr">
        <is>
          <t>FY2027 guidance 23-25% excluding discrete items; FY2026 actual 26.0% included discrete items.</t>
        </is>
      </c>
      <c r="G25" s="4" t="inlineStr">
        <is>
          <t>Signet Jewelers Limited (2026b, 2026c)</t>
        </is>
      </c>
    </row>
    <row r="26">
      <c r="A26" s="4" t="n">
        <v>22</v>
      </c>
      <c r="B26" s="4" t="inlineStr">
        <is>
          <t>Tax</t>
        </is>
      </c>
      <c r="C26" s="4" t="inlineStr">
        <is>
          <t>Effective income tax rate</t>
        </is>
      </c>
      <c r="D26" s="4" t="inlineStr">
        <is>
          <t>INTL</t>
        </is>
      </c>
      <c r="E26" s="4" t="inlineStr">
        <is>
          <t>25.0%</t>
        </is>
      </c>
      <c r="F26" s="4" t="inlineStr">
        <is>
          <t>UK corporation tax main rate 25%.</t>
        </is>
      </c>
      <c r="G26" s="4" t="inlineStr">
        <is>
          <t>Team assumption</t>
        </is>
      </c>
    </row>
    <row r="27">
      <c r="A27" s="4" t="n">
        <v>23</v>
      </c>
      <c r="B27" s="4" t="inlineStr">
        <is>
          <t>Discount rate</t>
        </is>
      </c>
      <c r="C27" s="4" t="inlineStr">
        <is>
          <t>Cost of equity (CAPM)</t>
        </is>
      </c>
      <c r="D27" s="4" t="inlineStr">
        <is>
          <t>NA / OTHER</t>
        </is>
      </c>
      <c r="E27" s="4" t="inlineStr">
        <is>
          <t>10.5% = 5.24% + 1.25 x 4.20%</t>
        </is>
      </c>
      <c r="F27" s="4" t="inlineStr">
        <is>
          <t>Risk-free: 10-year Treasury 5.24% (Oct 9, 2026). Beta 1.25 = midpoint of published betas (1.10 MarketBeat, 1.12 Google, 1.44 Motley Fool). Implied ERP 4.20% (Damodaran, Oct 1, 2026). No sell-side WACC retrievable; 10.5% sits inside the 9-12% band typical for specialty retail.</t>
        </is>
      </c>
      <c r="G27" s="4" t="inlineStr">
        <is>
          <t>Board of Governors of the Federal Reserve System (2026a); Damodaran (2026); MarketBeat (2026); Google Finance (2026); The Motley Fool (2026)</t>
        </is>
      </c>
    </row>
    <row r="28">
      <c r="A28" s="4" t="n">
        <v>24</v>
      </c>
      <c r="B28" s="4" t="inlineStr">
        <is>
          <t>Discount rate</t>
        </is>
      </c>
      <c r="C28" s="4" t="inlineStr">
        <is>
          <t>Cost of equity (CAPM) + premium</t>
        </is>
      </c>
      <c r="D28" s="4" t="inlineStr">
        <is>
          <t>INTL</t>
        </is>
      </c>
      <c r="E28" s="4" t="inlineStr">
        <is>
          <t>12.0% (= 10.5% + 1.5pp)</t>
        </is>
      </c>
      <c r="F28" s="4" t="inlineStr">
        <is>
          <t>Premium for small scale, weak UK demand, GBP exposure and history of near-zero segment profit.</t>
        </is>
      </c>
      <c r="G28" s="4" t="inlineStr">
        <is>
          <t>Team assumption; Signet Jewelers Limited (2025a)</t>
        </is>
      </c>
    </row>
    <row r="29">
      <c r="A29" s="4" t="n">
        <v>25</v>
      </c>
      <c r="B29" s="4" t="inlineStr">
        <is>
          <t>Balance sheet</t>
        </is>
      </c>
      <c r="C29" s="4" t="inlineStr">
        <is>
          <t>Simplified cash-basis balance sheet</t>
        </is>
      </c>
      <c r="D29" s="4" t="inlineStr">
        <is>
          <t>All</t>
        </is>
      </c>
      <c r="E29" s="4" t="inlineStr">
        <is>
          <t>Cash 874.8; inventory 1,940.1; debt 0; other liabilities (net) 848.7 plug; equity 1,966.2</t>
        </is>
      </c>
      <c r="F29" s="4" t="inlineStr">
        <is>
          <t>Per Session 5, non-cash items (D&amp;A, receivables, payables, leases, goodwill, intangibles, deferred revenue) are excluded. Inventory is kept as a non-depreciating operating asset. The single 'other liabilities, net' line calibrates simplified equity to reported shareholders' equity so the terminal value equals book equity.</t>
        </is>
      </c>
      <c r="G29" s="4" t="inlineStr">
        <is>
          <t>Signet Jewelers Limited (2026a, 2026b); Columbia University Capstone (2026a)</t>
        </is>
      </c>
    </row>
    <row r="30">
      <c r="A30" s="4" t="n">
        <v>26</v>
      </c>
      <c r="B30" s="4" t="inlineStr">
        <is>
          <t>Balance sheet</t>
        </is>
      </c>
      <c r="C30" s="4" t="inlineStr">
        <is>
          <t>Allocation of the balance sheet to segments</t>
        </is>
      </c>
      <c r="D30" s="4" t="inlineStr">
        <is>
          <t>All</t>
        </is>
      </c>
      <c r="E30" s="4" t="inlineStr">
        <is>
          <t>By FY2026 sales share: NA 93.4%, INTL 6.0%, OTHER 0.6%</t>
        </is>
      </c>
      <c r="F30" s="4" t="inlineStr">
        <is>
          <t>Cash is managed centrally and inventory is not disclosed by segment; a sales-share allocation keeps every tab's balance sheet, interest income and terminal equity proportionate to its business. Alternative (all cash in OTHER) noted as a question.</t>
        </is>
      </c>
      <c r="G30" s="4" t="inlineStr">
        <is>
          <t>Team allocation</t>
        </is>
      </c>
    </row>
    <row r="31">
      <c r="A31" s="4" t="n">
        <v>27</v>
      </c>
      <c r="B31" s="4" t="inlineStr">
        <is>
          <t>Market data</t>
        </is>
      </c>
      <c r="C31" s="4" t="inlineStr">
        <is>
          <t>Share price, shares outstanding, market cap</t>
        </is>
      </c>
      <c r="D31" s="4" t="inlineStr">
        <is>
          <t>Total</t>
        </is>
      </c>
      <c r="E31" s="4" t="inlineStr">
        <is>
          <t>$105.22 (Oct 9, 2026); 37.5M shares; $3,945.8M</t>
        </is>
      </c>
      <c r="F31" s="4" t="inlineStr">
        <is>
          <t>Close per Yahoo Finance; share count between MarketBeat (38.3M) and Google Finance (37.3M) after the $125M ASR announced in September 2026.</t>
        </is>
      </c>
      <c r="G31" s="4" t="inlineStr">
        <is>
          <t>Yahoo Finance (2026); MarketBeat (2026); Google Finance (2026); Signet Jewelers Limited (2026c)</t>
        </is>
      </c>
    </row>
    <row r="32">
      <c r="A32" s="4" t="n">
        <v>28</v>
      </c>
      <c r="B32" s="4" t="inlineStr">
        <is>
          <t>Market data</t>
        </is>
      </c>
      <c r="C32" s="4" t="inlineStr">
        <is>
          <t>Diluted shares for EPS</t>
        </is>
      </c>
      <c r="D32" s="4" t="inlineStr">
        <is>
          <t>Total</t>
        </is>
      </c>
      <c r="E32" s="4" t="inlineStr">
        <is>
          <t>41.6M (FY26A implied); 38.8M (FY27 guidance); flat thereafter</t>
        </is>
      </c>
      <c r="F32" s="4" t="inlineStr">
        <is>
          <t>Buybacks are distributions in this model, so the share count is not reduced further; EPS is therefore conservative in later years.</t>
        </is>
      </c>
      <c r="G32" s="4" t="inlineStr">
        <is>
          <t>Signet Jewelers Limited (2026b, 2026c)</t>
        </is>
      </c>
    </row>
    <row r="33">
      <c r="A33" s="4" t="n">
        <v>29</v>
      </c>
      <c r="B33" s="4" t="inlineStr">
        <is>
          <t>Horizon</t>
        </is>
      </c>
      <c r="C33" s="4" t="inlineStr">
        <is>
          <t>Projection horizon and terminal value</t>
        </is>
      </c>
      <c r="D33" s="4" t="inlineStr">
        <is>
          <t>All</t>
        </is>
      </c>
      <c r="E33" s="4" t="inlineStr">
        <is>
          <t>FY2027-FY2036 (10 years); terminal value = FY2036 equity</t>
        </is>
      </c>
      <c r="F33" s="4" t="inlineStr">
        <is>
          <t>Ten years reduces the weight of the terminal value (Session 6); terminal value = equity at end of projection is the 'simplest terminal value' recommended in class.</t>
        </is>
      </c>
      <c r="G33" s="4" t="inlineStr">
        <is>
          <t>Columbia University Capstone (2026b)</t>
        </is>
      </c>
    </row>
    <row r="34">
      <c r="A34" s="4" t="n">
        <v>30</v>
      </c>
      <c r="B34" s="4" t="inlineStr">
        <is>
          <t>Valuation</t>
        </is>
      </c>
      <c r="C34" s="4" t="inlineStr">
        <is>
          <t>Profits released vs. profits retained</t>
        </is>
      </c>
      <c r="D34" s="4" t="inlineStr">
        <is>
          <t>All</t>
        </is>
      </c>
      <c r="E34" s="4" t="inlineStr">
        <is>
          <t>Profits released</t>
        </is>
      </c>
      <c r="F34" s="4" t="inlineStr">
        <is>
          <t>Dividends plus buybacks: FY2026 $257.1M vs net income $294.4M (87%); H1 FY2027 $196.7M vs about $84M; $125M ASR added. Distributing all earnings is the closer approximation of Signet's behaviour; equity roll-forward holds in every tab (Checks).</t>
        </is>
      </c>
      <c r="G34" s="4" t="inlineStr">
        <is>
          <t>Signet Jewelers Limited (2026b, 2026c, 2026d); Columbia University Capstone (2026a)</t>
        </is>
      </c>
    </row>
    <row r="36">
      <c r="A36" s="12" t="inlineStr">
        <is>
          <t>Reclassifications and FY2026A calibration (how the 'Last Yr' column was built)</t>
        </is>
      </c>
      <c r="B36" s="13" t="n"/>
      <c r="C36" s="13" t="n"/>
      <c r="D36" s="13" t="n"/>
      <c r="E36" s="13" t="n"/>
      <c r="F36" s="13" t="n"/>
      <c r="G36" s="13" t="n"/>
    </row>
    <row r="37" ht="15" customHeight="1">
      <c r="B37" s="14" t="inlineStr">
        <is>
          <t>Segment sales</t>
        </is>
      </c>
      <c r="C37" s="4" t="inlineStr">
        <is>
          <t>NA 6,363.6 = consolidated 6,813.6 less International 410.4 less Other 39.6 (search excerpt: 'about $6.36 billion, +1.0%').</t>
        </is>
      </c>
    </row>
    <row r="38" ht="40.5" customHeight="1">
      <c r="B38" s="14" t="inlineStr">
        <is>
          <t>Segment cost of sales / SG&amp;A</t>
        </is>
      </c>
      <c r="C38" s="4" t="inlineStr">
        <is>
          <t>Fiscal 2026 segment cost lines (Note 5 'significant segment expenses') could not be retrieved, so: INTL gross margin 32.0% (FY2025 implied about 30%), INTL SG&amp;A 27.5% of sales (FY2025 27.6%), OTHER gross margin 8.0%, corporate fixed SG&amp;A 56.0 (FY2025 54.8 grown about 2%), NA = residual. Segment operating income still ties exactly to reported figures (NA 452.6, INTL 16.3, OTHER -75.8). Replace with the 10-K table when available.</t>
        </is>
      </c>
    </row>
    <row r="39" ht="27" customHeight="1">
      <c r="B39" s="14" t="inlineStr">
        <is>
          <t>Other operating income/(expense)</t>
        </is>
      </c>
      <c r="C39" s="4" t="inlineStr">
        <is>
          <t>Consolidated -128.3 (= operating income 393.1 - gross margin 2,694.6 + SG&amp;A 2,173.2) comprises impairments (about 91.3 digital brands) and restructuring; split NA -103.3 / INTL -2.0 / OTHER -23.0 so that segment operating income ties.</t>
        </is>
      </c>
    </row>
    <row r="40" ht="40.5" customHeight="1">
      <c r="B40" s="14" t="inlineStr">
        <is>
          <t>Revenue build (FY2026A)</t>
        </is>
      </c>
      <c r="C40" s="4" t="inlineStr">
        <is>
          <t>Services: NA 760.0 and INTL 41.0 of the 803.5 consolidated (balance assumed inside Other). E-commerce: 21.8% x 6,813.6 = 1,485.4, of which INTL 61.6 (15% of its sales) and NA 1,423.8. Store merchandise sales = segment sales - services - e-commerce; sales per store = store merchandise sales / average stores (NA 1.776, INTL 1.193).</t>
        </is>
      </c>
    </row>
    <row r="41" ht="27" customHeight="1">
      <c r="B41" s="14" t="inlineStr">
        <is>
          <t>Interest, other non-operating and tax</t>
        </is>
      </c>
      <c r="C41" s="4" t="inlineStr">
        <is>
          <t>Net interest income 4.0 + other non-operating income 1.0 = 5.0 allocated by sales share (NA 4.7, INTL 0.3, OTHER 0.0). Income taxes 103.7 allocated at the 26.0% effective rate (NA 119.1, INTL 4.3, OTHER -19.7 tax benefit on the corporate loss).</t>
        </is>
      </c>
    </row>
    <row r="42" ht="27" customHeight="1">
      <c r="B42" s="14" t="inlineStr">
        <is>
          <t>Balance sheet</t>
        </is>
      </c>
      <c r="C42" s="4" t="inlineStr">
        <is>
          <t>Simplified assets = cash 874.8 + inventory 1,940.1 = 2,814.9. Other liabilities, net = 2,814.9 - reported equity 1,966.2 = 848.7 (plug). All lines allocated by FY2026 sales share.</t>
        </is>
      </c>
    </row>
    <row r="44">
      <c r="A44" s="12" t="inlineStr">
        <is>
          <t>Questions for the lecturer / TAs</t>
        </is>
      </c>
      <c r="B44" s="13" t="n"/>
      <c r="C44" s="13" t="n"/>
      <c r="D44" s="13" t="n"/>
      <c r="E44" s="13" t="n"/>
      <c r="F44" s="13" t="n"/>
      <c r="G44" s="13" t="n"/>
    </row>
    <row r="45" ht="27" customHeight="1">
      <c r="B45" s="14" t="inlineStr">
        <is>
          <t>Q1</t>
        </is>
      </c>
      <c r="C45" s="4" t="inlineStr">
        <is>
          <t>Segment structure: we model three tabs (NA, INTL, OTHER = diamond sourcing + corporate/unallocated) so the Total tab reproduces the consolidated statements exactly. OTHER has a negative value (corporate cost centre). Is this acceptable, or should corporate costs be allocated into NA and INTL?</t>
        </is>
      </c>
    </row>
    <row r="46" ht="27" customHeight="1">
      <c r="B46" s="14" t="inlineStr">
        <is>
          <t>Q2</t>
        </is>
      </c>
      <c r="C46" s="4" t="inlineStr">
        <is>
          <t>Valuation approach: we chose 'profits released' (PV of distributed earnings + PV of terminal equity) rather than 'profits retained'. Please confirm either is acceptable for 3(a) and that the same approach must be kept in 3(d).</t>
        </is>
      </c>
    </row>
    <row r="47" ht="27" customHeight="1">
      <c r="B47" s="14" t="inlineStr">
        <is>
          <t>Q3</t>
        </is>
      </c>
      <c r="C47" s="4" t="inlineStr">
        <is>
          <t>Balance-sheet simplification: equity is calibrated to reported shareholders' equity through a single 'other liabilities, net' plug. Is a book-equity terminal value preferred to a tangible-equity (ex-goodwill) terminal value?</t>
        </is>
      </c>
    </row>
    <row r="48" ht="27" customHeight="1">
      <c r="B48" s="14" t="inlineStr">
        <is>
          <t>Q4</t>
        </is>
      </c>
      <c r="C48" s="4" t="inlineStr">
        <is>
          <t>Segment cost allocations: the Fiscal 2026 segment cost-of-sales/SG&amp;A table could not be retrieved in the build environment; allocations are documented above and will be replaced from the 10-K. Does the TA want the replacement before Session 7?</t>
        </is>
      </c>
    </row>
    <row r="49" ht="27" customHeight="1">
      <c r="B49" s="14" t="inlineStr">
        <is>
          <t>Q5</t>
        </is>
      </c>
      <c r="C49" s="4" t="inlineStr">
        <is>
          <t>Discount rate: single CAPM cost of equity per segment (10.5% / 12.0% / 10.5%) with the 10-year Treasury at 5.24%. Is a segment premium for International appropriate, or should one company-wide rate be used?</t>
        </is>
      </c>
    </row>
    <row r="51">
      <c r="A51" s="12" t="inlineStr">
        <is>
          <t>Limitations</t>
        </is>
      </c>
      <c r="B51" s="13" t="n"/>
      <c r="C51" s="13" t="n"/>
      <c r="D51" s="13" t="n"/>
      <c r="E51" s="13" t="n"/>
      <c r="F51" s="13" t="n"/>
      <c r="G51" s="13" t="n"/>
    </row>
    <row r="52" ht="40.5" customHeight="1">
      <c r="B52" s="14" t="inlineStr">
        <is>
          <t>L1</t>
        </is>
      </c>
      <c r="C52" s="4" t="inlineStr">
        <is>
          <t>Data access: sec.gov, signetjewelers.com and the IR PDF host were blocked in the build environment, so figures come from web-search excerpts of the 10-K, the Q4 FY2026 and Q2 FY2027 releases and their verbatim re-publications. Confidence flags (A-D) are in data/*.csv. Segment cost lines, International adjusted operating income and intangibles were not retrievable.</t>
        </is>
      </c>
    </row>
    <row r="53" ht="27" customHeight="1">
      <c r="B53" s="14" t="inlineStr">
        <is>
          <t>L2</t>
        </is>
      </c>
      <c r="C53" s="4" t="inlineStr">
        <is>
          <t>Static balance sheet: no capex, depreciation, working-capital build or lease accounting; inventory and cash are held flat. Buybacks are treated as distributions and the share count is not reduced, so modelled EPS growth is slower than consensus.</t>
        </is>
      </c>
    </row>
    <row r="54" ht="15" customHeight="1">
      <c r="B54" s="14" t="inlineStr">
        <is>
          <t>L3</t>
        </is>
      </c>
      <c r="C54" s="4" t="inlineStr">
        <is>
          <t>FX: International is modelled in USD at FY2026 rates; a GBP shock would be applied through the INTL sales-per-store and e-commerce drivers in 3(d).</t>
        </is>
      </c>
    </row>
    <row r="55" ht="15" customHeight="1">
      <c r="B55" s="14" t="inlineStr">
        <is>
          <t>L4</t>
        </is>
      </c>
      <c r="C55" s="4" t="inlineStr">
        <is>
          <t>Seasonality: annual model; the holiday-quarter concentration of earnings is not visible (a quarterly layer could be added later).</t>
        </is>
      </c>
    </row>
    <row r="56" ht="15" customHeight="1">
      <c r="B56" s="14" t="inlineStr">
        <is>
          <t>L5</t>
        </is>
      </c>
      <c r="C56" s="4" t="inlineStr">
        <is>
          <t>Tax: a single effective rate per segment; OTHER's corporate loss generates a tax benefit, consistent with consolidated filing.</t>
        </is>
      </c>
    </row>
    <row r="57" ht="27" customHeight="1">
      <c r="B57" s="14" t="inlineStr">
        <is>
          <t>L6</t>
        </is>
      </c>
      <c r="C57" s="4" t="inlineStr">
        <is>
          <t>The 'Baseline snapshot' value is a pasted number (as in the Pear model) so that 3(d) can compare scenario runs against it; it is checked against the live value on the Checks tab and must be re-pasted if baseline assumptions change (rerun build/build_model.py).</t>
        </is>
      </c>
    </row>
    <row r="59">
      <c r="A59" s="12" t="inlineStr">
        <is>
          <t>References (APA 7th)</t>
        </is>
      </c>
      <c r="B59" s="13" t="n"/>
      <c r="C59" s="13" t="n"/>
      <c r="D59" s="13" t="n"/>
      <c r="E59" s="13" t="n"/>
      <c r="F59" s="13" t="n"/>
      <c r="G59" s="13" t="n"/>
    </row>
    <row r="60" ht="15" customHeight="1">
      <c r="B60" s="4" t="inlineStr">
        <is>
          <t>Bank of Canada. (2026, July 15). Monetary policy report: July 2026. https://www.bankofcanada.ca/publications/mpr/mpr-2026-07-15/projections/</t>
        </is>
      </c>
    </row>
    <row r="61" ht="15" customHeight="1">
      <c r="B61" s="4" t="inlineStr">
        <is>
          <t>Board of Governors of the Federal Reserve System. (2026a, October 9). H.15 selected interest rates (daily). https://www.federalreserve.gov/releases/h15/</t>
        </is>
      </c>
    </row>
    <row r="62" ht="15" customHeight="1">
      <c r="B62" s="4" t="inlineStr">
        <is>
          <t>Board of Governors of the Federal Reserve System. (2026b, September 16). Summary of economic projections. https://www.federalreserve.gov/monetarypolicy/fomcprojtabl20260916.htm</t>
        </is>
      </c>
    </row>
    <row r="63" ht="27" customHeight="1">
      <c r="B63" s="4" t="inlineStr">
        <is>
          <t>CNBC. (2026, September 9). Signet shares soar as jeweler lifts annual profit forecast. https://www.cnbc.com/2026/09/09/signet-shares-soar-as-jeweler-lifts-annual-profit-forecast.html</t>
        </is>
      </c>
    </row>
    <row r="64" ht="15" customHeight="1">
      <c r="B64" s="4" t="inlineStr">
        <is>
          <t>Damodaran, A. (2026). Implied equity risk premium update (October 1, 2026). NYU Stern School of Business. https://pages.stern.nyu.edu/~adamodar/New_Home_Page/home.htm</t>
        </is>
      </c>
    </row>
    <row r="65" ht="27" customHeight="1">
      <c r="B65" s="4" t="inlineStr">
        <is>
          <t>European Commission. (2026, May). Economic forecast for Ireland (Spring 2026). https://economy-finance.ec.europa.eu/economic-surveillance-eu-member-states/country-pages-including-country-reports/ireland/economic-forecast-ireland_en</t>
        </is>
      </c>
    </row>
    <row r="66" ht="15" customHeight="1">
      <c r="B66" s="4" t="inlineStr">
        <is>
          <t>Google Finance. (2026). Signet Jewelers Ltd (SIG) stock price and news. https://www.google.com/finance/quote/SIG:NYSE</t>
        </is>
      </c>
    </row>
    <row r="67" ht="15" customHeight="1">
      <c r="B67" s="4" t="inlineStr">
        <is>
          <t>International Monetary Fund. (2026a, January). World economic outlook update: Global growth steady amid trade pressures. https://www.imf.org/en/Publications/WEO</t>
        </is>
      </c>
    </row>
    <row r="68" ht="27" customHeight="1">
      <c r="B68" s="4" t="inlineStr">
        <is>
          <t>International Monetary Fund. (2026b, June 29). IMF Executive Board concludes 2026 Article IV consultation with Ireland [Press release No. 26/225]. https://www.imf.org/en/news/articles/2026/06/29/pr26225-ireland-imf-executive-board-concludes-2026-article-iv-consultation</t>
        </is>
      </c>
    </row>
    <row r="69" ht="27" customHeight="1">
      <c r="B69" s="4" t="inlineStr">
        <is>
          <t>Jain, M., Razzaque, Z., Weng, S., Chamsi Bacha, J., &amp; Chan, A. (2026). Signet Jewelers Limited: Enterprise risk management program review (Case Assignment #2) [Unpublished course paper]. Columbia University. https://docs.google.com/document/d/1Qr6z5GyjssLGEcddoUETzNGfa9EOANAFN8yzgKIu-rs/edit</t>
        </is>
      </c>
    </row>
    <row r="70" ht="15" customHeight="1">
      <c r="B70" s="4" t="inlineStr">
        <is>
          <t>MarketBeat. (2026). Signet Jewelers (SIG) stock price, news and analysis. https://www.marketbeat.com/stocks/NYSE/SIG/</t>
        </is>
      </c>
    </row>
    <row r="71" ht="15" customHeight="1">
      <c r="B71" s="4" t="inlineStr">
        <is>
          <t>Segal, S. (2011). Corporate value of enterprise risk management: The next step in business management. John Wiley &amp; Sons.</t>
        </is>
      </c>
    </row>
    <row r="72" ht="27" customHeight="1">
      <c r="B72" s="4" t="inlineStr">
        <is>
          <t>Signet Jewelers Limited. (2024). Annual report on Form 10-K for the fiscal year ended February 3, 2024. U.S. Securities and Exchange Commission. https://www.sec.gov/Archives/edgar/data/832988/000083298824000083/sig-20240203.htm</t>
        </is>
      </c>
    </row>
    <row r="73" ht="27" customHeight="1">
      <c r="B73" s="4" t="inlineStr">
        <is>
          <t>Signet Jewelers Limited. (2024, March 20). Signet Jewelers reports fourth quarter and Fiscal 2024 results [Press release; Form 8-K Exhibit 99.1]. U.S. Securities and Exchange Commission. https://www.sec.gov/Archives/edgar/data/832988/000083298824000076/fy25ex9913x20x24pressrelea.htm</t>
        </is>
      </c>
    </row>
    <row r="74" ht="27" customHeight="1">
      <c r="B74" s="4" t="inlineStr">
        <is>
          <t>Signet Jewelers Limited. (2025a). Annual report on Form 10-K for the fiscal year ended February 1, 2025. U.S. Securities and Exchange Commission. https://www.sec.gov/Archives/edgar/data/832988/000083298825000018/sig-20250201.htm</t>
        </is>
      </c>
    </row>
    <row r="75" ht="27" customHeight="1">
      <c r="B75" s="4" t="inlineStr">
        <is>
          <t>Signet Jewelers Limited. (2025b, March 19). Signet Jewelers reports fourth quarter and Fiscal 2025 results [Press release]. Business Wire. https://www.businesswire.com/news/home/20250319542686/en/Signet-Jewelers-Reports-Fourth-Quarter-and-Fiscal-2025-Results</t>
        </is>
      </c>
    </row>
    <row r="76" ht="27" customHeight="1">
      <c r="B76" s="4" t="inlineStr">
        <is>
          <t>Signet Jewelers Limited. (2026a). Annual report on Form 10-K for the fiscal year ended January 31, 2026. U.S. Securities and Exchange Commission. https://www.sec.gov/Archives/edgar/data/832988/000083298826000055/sig-20260131.htm</t>
        </is>
      </c>
    </row>
    <row r="77" ht="27" customHeight="1">
      <c r="B77" s="4" t="inlineStr">
        <is>
          <t>Signet Jewelers Limited. (2026b, March 19). Signet Jewelers reports fourth quarter and full year Fiscal 2026 results [Press release; Form 8-K Exhibit 99.1]. U.S. Securities and Exchange Commission. https://www.sec.gov/Archives/edgar/data/832988/000083298826000054/fy27ex9913x19x26pressrelea.htm</t>
        </is>
      </c>
    </row>
    <row r="78" ht="27" customHeight="1">
      <c r="B78" s="4" t="inlineStr">
        <is>
          <t>Signet Jewelers Limited. (2026c, September 9). Signet Jewelers reports second quarter Fiscal 2027 results [Press release; Form 8-K Exhibit 99.1]. U.S. Securities and Exchange Commission. https://www.sec.gov/Archives/edgar/data/0000832988/000083298826000227/fy27ex99109x09x26pressrele.htm</t>
        </is>
      </c>
    </row>
    <row r="79" ht="27" customHeight="1">
      <c r="B79" s="4" t="inlineStr">
        <is>
          <t>Signet Jewelers Limited. (2026d). Quarterly report on Form 10-Q for the quarterly period ended August 1, 2026. U.S. Securities and Exchange Commission. https://www.sec.gov/Archives/edgar/data/0000832988/000083298826000229/sig-20260801.htm</t>
        </is>
      </c>
    </row>
    <row r="80" ht="27" customHeight="1">
      <c r="B80" s="4" t="inlineStr">
        <is>
          <t>Signet Jewelers Limited. (2026e). Quarterly report on Form 10-Q for the quarterly period ended May 2, 2026. U.S. Securities and Exchange Commission. https://www.sec.gov/Archives/edgar/data/0000832988/000083298826000159/sig-20260502.htm</t>
        </is>
      </c>
    </row>
    <row r="81" ht="15" customHeight="1">
      <c r="B81" s="4" t="inlineStr">
        <is>
          <t>Signet Jewelers Limited. (2026f). Fiscal 2026 annual report. https://s26.q4cdn.com/755441662/files/doc_financials/annual/SIG-fy26-AR.pdf</t>
        </is>
      </c>
    </row>
    <row r="82" ht="15" customHeight="1">
      <c r="B82" s="4" t="inlineStr">
        <is>
          <t>StockAnalysis. (2026). Signet Jewelers (SIG) statistics, valuation and forecast. https://stockanalysis.com/stocks/sig/statistics/</t>
        </is>
      </c>
    </row>
    <row r="83" ht="15" customHeight="1">
      <c r="B83" s="4" t="inlineStr">
        <is>
          <t>The Motley Fool. (2026). Signet Jewelers (SIG) stock price and news. https://www.fool.com/quote/nyse/sig/</t>
        </is>
      </c>
    </row>
    <row r="84" ht="27" customHeight="1">
      <c r="B84" s="4" t="inlineStr">
        <is>
          <t>Vanguard. (2026, August 11). Vanguard economic and market outlook: United Kingdom. https://externalcrewnet.vanguard.com/content/corporatesite/us/en/corp/vemo/vemo-united-kingdom.html</t>
        </is>
      </c>
    </row>
    <row r="85" ht="15" customHeight="1">
      <c r="B85" s="4" t="inlineStr">
        <is>
          <t>WallStreetZen. (2026). Signet Jewelers stock forecast and predictions. https://www.wallstreetzen.com/stocks/us/nyse/sig/stock-forecast</t>
        </is>
      </c>
    </row>
    <row r="86" ht="15" customHeight="1">
      <c r="B86" s="4" t="inlineStr">
        <is>
          <t>Yahoo Finance. (2026). Signet Jewelers Limited (SIG) analysis and historical quotes. https://finance.yahoo.com/quote/SIG/analysis/</t>
        </is>
      </c>
    </row>
  </sheetData>
  <mergeCells count="44">
    <mergeCell ref="C49:G49"/>
    <mergeCell ref="B60:G60"/>
    <mergeCell ref="B67:G67"/>
    <mergeCell ref="C42:G42"/>
    <mergeCell ref="B61:G61"/>
    <mergeCell ref="B73:G73"/>
    <mergeCell ref="C45:G45"/>
    <mergeCell ref="B82:G82"/>
    <mergeCell ref="B78:G78"/>
    <mergeCell ref="B69:G69"/>
    <mergeCell ref="C47:G47"/>
    <mergeCell ref="C54:G54"/>
    <mergeCell ref="B84:G84"/>
    <mergeCell ref="C41:G41"/>
    <mergeCell ref="B65:G65"/>
    <mergeCell ref="B83:G83"/>
    <mergeCell ref="C55:G55"/>
    <mergeCell ref="B74:G74"/>
    <mergeCell ref="B68:G68"/>
    <mergeCell ref="C40:G40"/>
    <mergeCell ref="B64:G64"/>
    <mergeCell ref="C56:G56"/>
    <mergeCell ref="B80:G80"/>
    <mergeCell ref="B85:G85"/>
    <mergeCell ref="C46:G46"/>
    <mergeCell ref="B76:G76"/>
    <mergeCell ref="B63:G63"/>
    <mergeCell ref="B79:G79"/>
    <mergeCell ref="B75:G75"/>
    <mergeCell ref="C39:G39"/>
    <mergeCell ref="C52:G52"/>
    <mergeCell ref="B62:G62"/>
    <mergeCell ref="C48:G48"/>
    <mergeCell ref="B72:G72"/>
    <mergeCell ref="B81:G81"/>
    <mergeCell ref="B66:G66"/>
    <mergeCell ref="C38:G38"/>
    <mergeCell ref="B71:G71"/>
    <mergeCell ref="C57:G57"/>
    <mergeCell ref="C37:G37"/>
    <mergeCell ref="C53:G53"/>
    <mergeCell ref="B70:G70"/>
    <mergeCell ref="B86:G86"/>
    <mergeCell ref="B77:G77"/>
  </mergeCells>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O112"/>
  <sheetViews>
    <sheetView zoomScale="90" workbookViewId="0">
      <pane xSplit="2" ySplit="3" topLeftCell="C4" activePane="bottomRight" state="frozen"/>
      <selection pane="topRight"/>
      <selection pane="bottomLeft"/>
      <selection pane="bottomRight" activeCell="A1" sqref="A1"/>
    </sheetView>
  </sheetViews>
  <sheetFormatPr baseColWidth="8" defaultRowHeight="15"/>
  <cols>
    <col width="13" customWidth="1" min="1" max="1"/>
    <col width="66" customWidth="1" min="2" max="2"/>
    <col width="17" customWidth="1" min="3" max="3"/>
    <col width="11.5" customWidth="1" min="4" max="4"/>
    <col width="11.5" customWidth="1" min="5" max="5"/>
    <col width="11.5" customWidth="1" min="6" max="6"/>
    <col width="11.5" customWidth="1" min="7" max="7"/>
    <col width="11.5" customWidth="1" min="8" max="8"/>
    <col width="11.5" customWidth="1" min="9" max="9"/>
    <col width="11.5" customWidth="1" min="10" max="10"/>
    <col width="11.5" customWidth="1" min="11" max="11"/>
    <col width="11.5" customWidth="1" min="12" max="12"/>
    <col width="11.5" customWidth="1" min="13" max="13"/>
    <col width="17" customWidth="1" min="14" max="14"/>
    <col width="60" customWidth="1" min="15" max="15"/>
  </cols>
  <sheetData>
    <row r="1">
      <c r="A1" s="1" t="inlineStr">
        <is>
          <t>Signet Jewelers - Baseline Value-Based ERM Model - Segment: North America</t>
        </is>
      </c>
    </row>
    <row r="2">
      <c r="A2" s="10" t="inlineStr">
        <is>
          <t>North America reportable segment: Kay, Zales, Jared, Diamonds Direct, Banter by Piercing Pagoda, Rocksbox, the digital brands James Allen and Blue Nile, and Peoples Jewellers (Canada).  Units: $ millions (one decimal) unless stated; fiscal years end about January 31 (FY2026 = year ended Jan 31, 2026). Blue = hard-coded input, black = formula, green = link to another tab.</t>
        </is>
      </c>
    </row>
    <row r="3">
      <c r="A3" s="11" t="inlineStr">
        <is>
          <t>Section</t>
        </is>
      </c>
      <c r="B3" s="11" t="inlineStr">
        <is>
          <t>Line item</t>
        </is>
      </c>
      <c r="C3" s="15" t="inlineStr">
        <is>
          <t>Last Yr (FY2026A)</t>
        </is>
      </c>
      <c r="D3" s="15" t="inlineStr">
        <is>
          <t>FY2027</t>
        </is>
      </c>
      <c r="E3" s="15" t="inlineStr">
        <is>
          <t>FY2028</t>
        </is>
      </c>
      <c r="F3" s="15" t="inlineStr">
        <is>
          <t>FY2029</t>
        </is>
      </c>
      <c r="G3" s="15" t="inlineStr">
        <is>
          <t>FY2030</t>
        </is>
      </c>
      <c r="H3" s="15" t="inlineStr">
        <is>
          <t>FY2031</t>
        </is>
      </c>
      <c r="I3" s="15" t="inlineStr">
        <is>
          <t>FY2032</t>
        </is>
      </c>
      <c r="J3" s="15" t="inlineStr">
        <is>
          <t>FY2033</t>
        </is>
      </c>
      <c r="K3" s="15" t="inlineStr">
        <is>
          <t>FY2034</t>
        </is>
      </c>
      <c r="L3" s="15" t="inlineStr">
        <is>
          <t>FY2035</t>
        </is>
      </c>
      <c r="M3" s="15" t="inlineStr">
        <is>
          <t>FY2036</t>
        </is>
      </c>
      <c r="N3" s="11" t="inlineStr">
        <is>
          <t>Units</t>
        </is>
      </c>
      <c r="O3" s="11" t="inlineStr">
        <is>
          <t>Notes</t>
        </is>
      </c>
    </row>
    <row r="4"/>
    <row r="5">
      <c r="A5" s="12" t="inlineStr">
        <is>
          <t>BASELINE ASSUMPTIONS (blue = hard-coded input; black '=previous cell' carries an assumption forward)</t>
        </is>
      </c>
      <c r="B5" s="13" t="n"/>
      <c r="C5" s="13" t="n"/>
      <c r="D5" s="13" t="n"/>
      <c r="E5" s="13" t="n"/>
      <c r="F5" s="13" t="n"/>
      <c r="G5" s="13" t="n"/>
      <c r="H5" s="13" t="n"/>
      <c r="I5" s="13" t="n"/>
      <c r="J5" s="13" t="n"/>
      <c r="K5" s="13" t="n"/>
      <c r="L5" s="13" t="n"/>
      <c r="M5" s="13" t="n"/>
      <c r="N5" s="13" t="n"/>
      <c r="O5" s="13" t="n"/>
    </row>
    <row r="6">
      <c r="A6" s="10" t="inlineStr">
        <is>
          <t>Baseline</t>
        </is>
      </c>
      <c r="B6" s="7" t="inlineStr">
        <is>
          <t>Gross store openings (number of stores)</t>
        </is>
      </c>
      <c r="C6" s="16">
        <f>C59</f>
        <v/>
      </c>
      <c r="D6" s="17" t="n">
        <v>6</v>
      </c>
      <c r="E6" s="17" t="n">
        <v>10</v>
      </c>
      <c r="F6" s="16">
        <f>E6</f>
        <v/>
      </c>
      <c r="G6" s="17" t="n">
        <v>12</v>
      </c>
      <c r="H6" s="16">
        <f>G6</f>
        <v/>
      </c>
      <c r="I6" s="16">
        <f>H6</f>
        <v/>
      </c>
      <c r="J6" s="16">
        <f>I6</f>
        <v/>
      </c>
      <c r="K6" s="16">
        <f>J6</f>
        <v/>
      </c>
      <c r="L6" s="16">
        <f>K6</f>
        <v/>
      </c>
      <c r="M6" s="16">
        <f>L6</f>
        <v/>
      </c>
      <c r="N6" s="10" t="inlineStr">
        <is>
          <t># stores</t>
        </is>
      </c>
      <c r="O6" s="10" t="inlineStr">
        <is>
          <t>Gross openings; net of closures drives average stores.</t>
        </is>
      </c>
    </row>
    <row r="7">
      <c r="A7" s="10" t="inlineStr">
        <is>
          <t>Baseline</t>
        </is>
      </c>
      <c r="B7" s="7" t="inlineStr">
        <is>
          <t>Store closures (number of stores)</t>
        </is>
      </c>
      <c r="C7" s="16">
        <f>C60</f>
        <v/>
      </c>
      <c r="D7" s="17" t="n">
        <v>70</v>
      </c>
      <c r="E7" s="17" t="n">
        <v>50</v>
      </c>
      <c r="F7" s="17" t="n">
        <v>40</v>
      </c>
      <c r="G7" s="17" t="n">
        <v>30</v>
      </c>
      <c r="H7" s="17" t="n">
        <v>25</v>
      </c>
      <c r="I7" s="17" t="n">
        <v>20</v>
      </c>
      <c r="J7" s="16">
        <f>I7</f>
        <v/>
      </c>
      <c r="K7" s="16">
        <f>J7</f>
        <v/>
      </c>
      <c r="L7" s="16">
        <f>K7</f>
        <v/>
      </c>
      <c r="M7" s="16">
        <f>L7</f>
        <v/>
      </c>
      <c r="N7" s="10" t="inlineStr">
        <is>
          <t># stores</t>
        </is>
      </c>
      <c r="O7" s="10" t="inlineStr">
        <is>
          <t>Fleet optimisation: mall closures / off-mall repositioning (net sq ft 'low-single-digit decline' guidance).</t>
        </is>
      </c>
    </row>
    <row r="8">
      <c r="A8" s="10" t="inlineStr">
        <is>
          <t>Baseline</t>
        </is>
      </c>
      <c r="B8" s="7" t="inlineStr">
        <is>
          <t>Same-store sales growth (applied to merchandise sales per average store)</t>
        </is>
      </c>
      <c r="C8" s="18" t="n">
        <v>0.012</v>
      </c>
      <c r="D8" s="18" t="n">
        <v>0.015</v>
      </c>
      <c r="E8" s="18" t="n">
        <v>0.02</v>
      </c>
      <c r="F8" s="19">
        <f>E8</f>
        <v/>
      </c>
      <c r="G8" s="19">
        <f>F8</f>
        <v/>
      </c>
      <c r="H8" s="19">
        <f>G8</f>
        <v/>
      </c>
      <c r="I8" s="19">
        <f>H8</f>
        <v/>
      </c>
      <c r="J8" s="19">
        <f>I8</f>
        <v/>
      </c>
      <c r="K8" s="19">
        <f>J8</f>
        <v/>
      </c>
      <c r="L8" s="19">
        <f>K8</f>
        <v/>
      </c>
      <c r="M8" s="19">
        <f>L8</f>
        <v/>
      </c>
      <c r="N8" s="10" t="inlineStr">
        <is>
          <t>% p.a.</t>
        </is>
      </c>
      <c r="O8" s="10" t="inlineStr">
        <is>
          <t>Price/mix + traffic growth applied to sales per average store.</t>
        </is>
      </c>
    </row>
    <row r="9">
      <c r="A9" s="10" t="inlineStr">
        <is>
          <t>Baseline</t>
        </is>
      </c>
      <c r="B9" s="7" t="inlineStr">
        <is>
          <t>E-commerce merchandise sales growth</t>
        </is>
      </c>
      <c r="D9" s="18" t="n">
        <v>0.03</v>
      </c>
      <c r="E9" s="18" t="n">
        <v>0.04</v>
      </c>
      <c r="F9" s="19">
        <f>E9</f>
        <v/>
      </c>
      <c r="G9" s="19">
        <f>F9</f>
        <v/>
      </c>
      <c r="H9" s="19">
        <f>G9</f>
        <v/>
      </c>
      <c r="I9" s="19">
        <f>H9</f>
        <v/>
      </c>
      <c r="J9" s="19">
        <f>I9</f>
        <v/>
      </c>
      <c r="K9" s="19">
        <f>J9</f>
        <v/>
      </c>
      <c r="L9" s="19">
        <f>K9</f>
        <v/>
      </c>
      <c r="M9" s="19">
        <f>L9</f>
        <v/>
      </c>
      <c r="N9" s="10" t="inlineStr">
        <is>
          <t>% p.a.</t>
        </is>
      </c>
      <c r="O9" s="10" t="inlineStr">
        <is>
          <t>Includes digital-native brands (NA) and store-brand online sales.</t>
        </is>
      </c>
    </row>
    <row r="10">
      <c r="A10" s="10" t="inlineStr">
        <is>
          <t>Baseline</t>
        </is>
      </c>
      <c r="B10" s="7" t="inlineStr">
        <is>
          <t>Services attach rate (services revenue as % of merchandise sales)</t>
        </is>
      </c>
      <c r="C10" s="19">
        <f>IF(C66+C67=0,0,C68/(C66+C67))</f>
        <v/>
      </c>
      <c r="D10" s="18" t="n">
        <v>0.138</v>
      </c>
      <c r="E10" s="18" t="n">
        <v>0.14</v>
      </c>
      <c r="F10" s="19">
        <f>E10</f>
        <v/>
      </c>
      <c r="G10" s="19">
        <f>F10</f>
        <v/>
      </c>
      <c r="H10" s="19">
        <f>G10</f>
        <v/>
      </c>
      <c r="I10" s="19">
        <f>H10</f>
        <v/>
      </c>
      <c r="J10" s="19">
        <f>I10</f>
        <v/>
      </c>
      <c r="K10" s="19">
        <f>J10</f>
        <v/>
      </c>
      <c r="L10" s="19">
        <f>K10</f>
        <v/>
      </c>
      <c r="M10" s="19">
        <f>L10</f>
        <v/>
      </c>
      <c r="N10" s="10" t="inlineStr">
        <is>
          <t>% of merch.</t>
        </is>
      </c>
      <c r="O10" s="10" t="inlineStr">
        <is>
          <t>Extended service plans, repairs, custom design.</t>
        </is>
      </c>
    </row>
    <row r="11">
      <c r="A11" s="10" t="inlineStr">
        <is>
          <t>Baseline</t>
        </is>
      </c>
      <c r="B11" s="7" t="inlineStr">
        <is>
          <t>Other (non-retail / diamond sourcing) revenue growth</t>
        </is>
      </c>
      <c r="D11" s="18" t="n">
        <v>0</v>
      </c>
      <c r="E11" s="19">
        <f>D11</f>
        <v/>
      </c>
      <c r="F11" s="19">
        <f>E11</f>
        <v/>
      </c>
      <c r="G11" s="19">
        <f>F11</f>
        <v/>
      </c>
      <c r="H11" s="19">
        <f>G11</f>
        <v/>
      </c>
      <c r="I11" s="19">
        <f>H11</f>
        <v/>
      </c>
      <c r="J11" s="19">
        <f>I11</f>
        <v/>
      </c>
      <c r="K11" s="19">
        <f>J11</f>
        <v/>
      </c>
      <c r="L11" s="19">
        <f>K11</f>
        <v/>
      </c>
      <c r="M11" s="19">
        <f>L11</f>
        <v/>
      </c>
      <c r="N11" s="10" t="inlineStr">
        <is>
          <t>% p.a.</t>
        </is>
      </c>
      <c r="O11" s="10" t="inlineStr">
        <is>
          <t>Only the diamond-sourcing sales in OTHER are non-zero.</t>
        </is>
      </c>
    </row>
    <row r="12">
      <c r="A12" s="10" t="inlineStr">
        <is>
          <t>Baseline</t>
        </is>
      </c>
      <c r="B12" s="7" t="inlineStr">
        <is>
          <t>Cost of sales (incl. store occupancy) as % of total sales</t>
        </is>
      </c>
      <c r="C12" s="19">
        <f>IF(C70=0,0,C72/C70)</f>
        <v/>
      </c>
      <c r="D12" s="18" t="n">
        <v>0.593</v>
      </c>
      <c r="E12" s="19">
        <f>D12</f>
        <v/>
      </c>
      <c r="F12" s="19">
        <f>E12</f>
        <v/>
      </c>
      <c r="G12" s="19">
        <f>F12</f>
        <v/>
      </c>
      <c r="H12" s="19">
        <f>G12</f>
        <v/>
      </c>
      <c r="I12" s="19">
        <f>H12</f>
        <v/>
      </c>
      <c r="J12" s="19">
        <f>I12</f>
        <v/>
      </c>
      <c r="K12" s="19">
        <f>J12</f>
        <v/>
      </c>
      <c r="L12" s="19">
        <f>K12</f>
        <v/>
      </c>
      <c r="M12" s="19">
        <f>L12</f>
        <v/>
      </c>
      <c r="N12" s="10" t="inlineStr">
        <is>
          <t>% of sales</t>
        </is>
      </c>
      <c r="O12" s="10" t="inlineStr">
        <is>
          <t>Signet books store occupancy in cost of sales; 1 - this = gross margin %.</t>
        </is>
      </c>
    </row>
    <row r="13">
      <c r="A13" s="10" t="inlineStr">
        <is>
          <t>Baseline</t>
        </is>
      </c>
      <c r="B13" s="7" t="inlineStr">
        <is>
          <t>Variable SG&amp;A (store payroll, advertising, credit) as % of total sales</t>
        </is>
      </c>
      <c r="C13" s="19">
        <f>IF(C70=0,0,C75/C70)</f>
        <v/>
      </c>
      <c r="D13" s="18" t="n">
        <v>0.2</v>
      </c>
      <c r="E13" s="19">
        <f>D13</f>
        <v/>
      </c>
      <c r="F13" s="19">
        <f>E13</f>
        <v/>
      </c>
      <c r="G13" s="19">
        <f>F13</f>
        <v/>
      </c>
      <c r="H13" s="19">
        <f>G13</f>
        <v/>
      </c>
      <c r="I13" s="19">
        <f>H13</f>
        <v/>
      </c>
      <c r="J13" s="19">
        <f>I13</f>
        <v/>
      </c>
      <c r="K13" s="19">
        <f>J13</f>
        <v/>
      </c>
      <c r="L13" s="19">
        <f>K13</f>
        <v/>
      </c>
      <c r="M13" s="19">
        <f>L13</f>
        <v/>
      </c>
      <c r="N13" s="10" t="inlineStr">
        <is>
          <t>% of sales</t>
        </is>
      </c>
      <c r="O13" s="10" t="inlineStr">
        <is>
          <t>Marginal expenses that move with sales.</t>
        </is>
      </c>
    </row>
    <row r="14">
      <c r="A14" s="10" t="inlineStr">
        <is>
          <t>Baseline</t>
        </is>
      </c>
      <c r="B14" s="7" t="inlineStr">
        <is>
          <t>Fixed SG&amp;A inflation (corporate, support, fixed store overhead)</t>
        </is>
      </c>
      <c r="D14" s="18" t="n">
        <v>0.025</v>
      </c>
      <c r="E14" s="18" t="n">
        <v>0.023</v>
      </c>
      <c r="F14" s="18" t="n">
        <v>0.021</v>
      </c>
      <c r="G14" s="18" t="n">
        <v>0.02</v>
      </c>
      <c r="H14" s="19">
        <f>G14</f>
        <v/>
      </c>
      <c r="I14" s="19">
        <f>H14</f>
        <v/>
      </c>
      <c r="J14" s="19">
        <f>I14</f>
        <v/>
      </c>
      <c r="K14" s="19">
        <f>J14</f>
        <v/>
      </c>
      <c r="L14" s="19">
        <f>K14</f>
        <v/>
      </c>
      <c r="M14" s="19">
        <f>L14</f>
        <v/>
      </c>
      <c r="N14" s="10" t="inlineStr">
        <is>
          <t>% p.a.</t>
        </is>
      </c>
      <c r="O14" s="10" t="inlineStr">
        <is>
          <t>Fixed expenses grow with inflation (Session 6 guidance).</t>
        </is>
      </c>
    </row>
    <row r="15">
      <c r="A15" s="10" t="inlineStr">
        <is>
          <t>Baseline</t>
        </is>
      </c>
      <c r="B15" s="7" t="inlineStr">
        <is>
          <t>Cost-savings initiatives (incremental run-rate cut to fixed SG&amp;A)</t>
        </is>
      </c>
      <c r="D15" s="20" t="n">
        <v>0</v>
      </c>
      <c r="E15" s="21">
        <f>D15</f>
        <v/>
      </c>
      <c r="F15" s="21">
        <f>E15</f>
        <v/>
      </c>
      <c r="G15" s="21">
        <f>F15</f>
        <v/>
      </c>
      <c r="H15" s="21">
        <f>G15</f>
        <v/>
      </c>
      <c r="I15" s="21">
        <f>H15</f>
        <v/>
      </c>
      <c r="J15" s="21">
        <f>I15</f>
        <v/>
      </c>
      <c r="K15" s="21">
        <f>J15</f>
        <v/>
      </c>
      <c r="L15" s="21">
        <f>K15</f>
        <v/>
      </c>
      <c r="M15" s="21">
        <f>L15</f>
        <v/>
      </c>
      <c r="N15" s="10" t="inlineStr">
        <is>
          <t>$M</t>
        </is>
      </c>
      <c r="O15" s="10" t="inlineStr">
        <is>
          <t>Zero: no quantified cost-savings programme disclosed. Row kept for shocks.</t>
        </is>
      </c>
    </row>
    <row r="16">
      <c r="A16" s="10" t="inlineStr">
        <is>
          <t>Baseline</t>
        </is>
      </c>
      <c r="B16" s="7" t="inlineStr">
        <is>
          <t>Other operating income / (expense), one-time items (+ = income)</t>
        </is>
      </c>
      <c r="C16" s="21">
        <f>C79</f>
        <v/>
      </c>
      <c r="D16" s="20" t="n">
        <v>30</v>
      </c>
      <c r="E16" s="20" t="n">
        <v>0</v>
      </c>
      <c r="F16" s="21">
        <f>E16</f>
        <v/>
      </c>
      <c r="G16" s="21">
        <f>F16</f>
        <v/>
      </c>
      <c r="H16" s="21">
        <f>G16</f>
        <v/>
      </c>
      <c r="I16" s="21">
        <f>H16</f>
        <v/>
      </c>
      <c r="J16" s="21">
        <f>I16</f>
        <v/>
      </c>
      <c r="K16" s="21">
        <f>J16</f>
        <v/>
      </c>
      <c r="L16" s="21">
        <f>K16</f>
        <v/>
      </c>
      <c r="M16" s="21">
        <f>L16</f>
        <v/>
      </c>
      <c r="N16" s="10" t="inlineStr">
        <is>
          <t>$M</t>
        </is>
      </c>
      <c r="O16" s="10" t="inlineStr">
        <is>
          <t>FY2027 NA: +30 tariff refunds expected by management; impairments/restructuring assumed nil going forward.</t>
        </is>
      </c>
    </row>
    <row r="17">
      <c r="A17" s="10" t="inlineStr">
        <is>
          <t>Baseline</t>
        </is>
      </c>
      <c r="B17" s="7" t="inlineStr">
        <is>
          <t>Net yield on invested assets (cash &amp; equivalents)</t>
        </is>
      </c>
      <c r="D17" s="18" t="n">
        <v>0.007</v>
      </c>
      <c r="E17" s="19">
        <f>D17</f>
        <v/>
      </c>
      <c r="F17" s="19">
        <f>E17</f>
        <v/>
      </c>
      <c r="G17" s="19">
        <f>F17</f>
        <v/>
      </c>
      <c r="H17" s="19">
        <f>G17</f>
        <v/>
      </c>
      <c r="I17" s="19">
        <f>H17</f>
        <v/>
      </c>
      <c r="J17" s="19">
        <f>I17</f>
        <v/>
      </c>
      <c r="K17" s="19">
        <f>J17</f>
        <v/>
      </c>
      <c r="L17" s="19">
        <f>K17</f>
        <v/>
      </c>
      <c r="M17" s="19">
        <f>L17</f>
        <v/>
      </c>
      <c r="N17" s="10" t="inlineStr">
        <is>
          <t>% of prior-yr cash</t>
        </is>
      </c>
      <c r="O17" s="10" t="inlineStr">
        <is>
          <t>Calibrated: reported net interest income was only 4.0 (FY26) and 9.8 (FY25) on 600-900 of cash.</t>
        </is>
      </c>
    </row>
    <row r="18">
      <c r="A18" s="10" t="inlineStr">
        <is>
          <t>Baseline</t>
        </is>
      </c>
      <c r="B18" s="7" t="inlineStr">
        <is>
          <t>Interest rate on debt (ABL revolver; debt is zero in baseline)</t>
        </is>
      </c>
      <c r="D18" s="18" t="n">
        <v>0.065</v>
      </c>
      <c r="E18" s="19">
        <f>D18</f>
        <v/>
      </c>
      <c r="F18" s="19">
        <f>E18</f>
        <v/>
      </c>
      <c r="G18" s="19">
        <f>F18</f>
        <v/>
      </c>
      <c r="H18" s="19">
        <f>G18</f>
        <v/>
      </c>
      <c r="I18" s="19">
        <f>H18</f>
        <v/>
      </c>
      <c r="J18" s="19">
        <f>I18</f>
        <v/>
      </c>
      <c r="K18" s="19">
        <f>J18</f>
        <v/>
      </c>
      <c r="L18" s="19">
        <f>K18</f>
        <v/>
      </c>
      <c r="M18" s="19">
        <f>L18</f>
        <v/>
      </c>
      <c r="N18" s="10" t="inlineStr">
        <is>
          <t>% of prior-yr debt</t>
        </is>
      </c>
      <c r="O18" s="10" t="inlineStr">
        <is>
          <t>No funded debt at FY2026A; rate kept for interest-rate / liquidity shocks.</t>
        </is>
      </c>
    </row>
    <row r="19">
      <c r="A19" s="10" t="inlineStr">
        <is>
          <t>Baseline</t>
        </is>
      </c>
      <c r="B19" s="7" t="inlineStr">
        <is>
          <t>Effective income tax rate</t>
        </is>
      </c>
      <c r="C19" s="19">
        <f>IF(C84=0,0,C86/C84)</f>
        <v/>
      </c>
      <c r="D19" s="18" t="n">
        <v>0.24</v>
      </c>
      <c r="E19" s="19">
        <f>D19</f>
        <v/>
      </c>
      <c r="F19" s="19">
        <f>E19</f>
        <v/>
      </c>
      <c r="G19" s="19">
        <f>F19</f>
        <v/>
      </c>
      <c r="H19" s="19">
        <f>G19</f>
        <v/>
      </c>
      <c r="I19" s="19">
        <f>H19</f>
        <v/>
      </c>
      <c r="J19" s="19">
        <f>I19</f>
        <v/>
      </c>
      <c r="K19" s="19">
        <f>J19</f>
        <v/>
      </c>
      <c r="L19" s="19">
        <f>K19</f>
        <v/>
      </c>
      <c r="M19" s="19">
        <f>L19</f>
        <v/>
      </c>
      <c r="N19" s="10" t="inlineStr">
        <is>
          <t>% of pre-tax</t>
        </is>
      </c>
      <c r="O19" s="10" t="inlineStr">
        <is>
          <t>FY2027 guidance 23-25% (NA/OTHER 24%); UK statutory 25% for INTL.</t>
        </is>
      </c>
    </row>
    <row r="20">
      <c r="A20" s="10" t="inlineStr">
        <is>
          <t>Baseline</t>
        </is>
      </c>
      <c r="B20" s="7" t="inlineStr">
        <is>
          <t>Discount rate (cost of equity, CAPM) - single rate for the segment</t>
        </is>
      </c>
      <c r="D20" s="18" t="n">
        <v>0.105</v>
      </c>
      <c r="N20" s="10" t="inlineStr">
        <is>
          <t>% p.a.</t>
        </is>
      </c>
      <c r="O20" s="10" t="inlineStr">
        <is>
          <t>CAPM: 5.24% + 1.25 x 4.20% = 10.5%; INTL +1.5pp premium. Single rate in the FY2027 column (as in Pear).</t>
        </is>
      </c>
    </row>
    <row r="22">
      <c r="A22" s="12" t="inlineStr">
        <is>
          <t>SHOCK TO ASSUMPTIONS - additive shocks, all ZERO in the baseline (for use in Assignment 3(d))</t>
        </is>
      </c>
      <c r="B22" s="13" t="n"/>
      <c r="C22" s="13" t="n"/>
      <c r="D22" s="13" t="n"/>
      <c r="E22" s="13" t="n"/>
      <c r="F22" s="13" t="n"/>
      <c r="G22" s="13" t="n"/>
      <c r="H22" s="13" t="n"/>
      <c r="I22" s="13" t="n"/>
      <c r="J22" s="13" t="n"/>
      <c r="K22" s="13" t="n"/>
      <c r="L22" s="13" t="n"/>
      <c r="M22" s="13" t="n"/>
      <c r="N22" s="13" t="n"/>
      <c r="O22" s="13" t="n"/>
    </row>
    <row r="23">
      <c r="A23" s="10" t="inlineStr">
        <is>
          <t>Shock</t>
        </is>
      </c>
      <c r="B23" s="7" t="inlineStr">
        <is>
          <t>Shock: Gross store openings (number of stores)</t>
        </is>
      </c>
      <c r="D23" s="17" t="n">
        <v>0</v>
      </c>
      <c r="E23" s="17" t="n">
        <v>0</v>
      </c>
      <c r="F23" s="17" t="n">
        <v>0</v>
      </c>
      <c r="G23" s="17" t="n">
        <v>0</v>
      </c>
      <c r="H23" s="17" t="n">
        <v>0</v>
      </c>
      <c r="I23" s="17" t="n">
        <v>0</v>
      </c>
      <c r="J23" s="17" t="n">
        <v>0</v>
      </c>
      <c r="K23" s="17" t="n">
        <v>0</v>
      </c>
      <c r="L23" s="17" t="n">
        <v>0</v>
      </c>
      <c r="M23" s="17" t="n">
        <v>0</v>
      </c>
      <c r="N23" s="10" t="inlineStr">
        <is>
          <t># stores</t>
        </is>
      </c>
    </row>
    <row r="24">
      <c r="A24" s="10" t="inlineStr">
        <is>
          <t>Shock</t>
        </is>
      </c>
      <c r="B24" s="7" t="inlineStr">
        <is>
          <t>Shock: Store closures (number of stores)</t>
        </is>
      </c>
      <c r="D24" s="17" t="n">
        <v>0</v>
      </c>
      <c r="E24" s="17" t="n">
        <v>0</v>
      </c>
      <c r="F24" s="17" t="n">
        <v>0</v>
      </c>
      <c r="G24" s="17" t="n">
        <v>0</v>
      </c>
      <c r="H24" s="17" t="n">
        <v>0</v>
      </c>
      <c r="I24" s="17" t="n">
        <v>0</v>
      </c>
      <c r="J24" s="17" t="n">
        <v>0</v>
      </c>
      <c r="K24" s="17" t="n">
        <v>0</v>
      </c>
      <c r="L24" s="17" t="n">
        <v>0</v>
      </c>
      <c r="M24" s="17" t="n">
        <v>0</v>
      </c>
      <c r="N24" s="10" t="inlineStr">
        <is>
          <t># stores</t>
        </is>
      </c>
    </row>
    <row r="25">
      <c r="A25" s="10" t="inlineStr">
        <is>
          <t>Shock</t>
        </is>
      </c>
      <c r="B25" s="7" t="inlineStr">
        <is>
          <t>Shock: Same-store sales growth (applied to merchandise sales per average store)</t>
        </is>
      </c>
      <c r="D25" s="18" t="n">
        <v>0</v>
      </c>
      <c r="E25" s="18" t="n">
        <v>0</v>
      </c>
      <c r="F25" s="18" t="n">
        <v>0</v>
      </c>
      <c r="G25" s="18" t="n">
        <v>0</v>
      </c>
      <c r="H25" s="18" t="n">
        <v>0</v>
      </c>
      <c r="I25" s="18" t="n">
        <v>0</v>
      </c>
      <c r="J25" s="18" t="n">
        <v>0</v>
      </c>
      <c r="K25" s="18" t="n">
        <v>0</v>
      </c>
      <c r="L25" s="18" t="n">
        <v>0</v>
      </c>
      <c r="M25" s="18" t="n">
        <v>0</v>
      </c>
      <c r="N25" s="10" t="inlineStr">
        <is>
          <t>% p.a.</t>
        </is>
      </c>
    </row>
    <row r="26">
      <c r="A26" s="10" t="inlineStr">
        <is>
          <t>Shock</t>
        </is>
      </c>
      <c r="B26" s="7" t="inlineStr">
        <is>
          <t>Shock: E-commerce merchandise sales growth</t>
        </is>
      </c>
      <c r="D26" s="18" t="n">
        <v>0</v>
      </c>
      <c r="E26" s="18" t="n">
        <v>0</v>
      </c>
      <c r="F26" s="18" t="n">
        <v>0</v>
      </c>
      <c r="G26" s="18" t="n">
        <v>0</v>
      </c>
      <c r="H26" s="18" t="n">
        <v>0</v>
      </c>
      <c r="I26" s="18" t="n">
        <v>0</v>
      </c>
      <c r="J26" s="18" t="n">
        <v>0</v>
      </c>
      <c r="K26" s="18" t="n">
        <v>0</v>
      </c>
      <c r="L26" s="18" t="n">
        <v>0</v>
      </c>
      <c r="M26" s="18" t="n">
        <v>0</v>
      </c>
      <c r="N26" s="10" t="inlineStr">
        <is>
          <t>% p.a.</t>
        </is>
      </c>
    </row>
    <row r="27">
      <c r="A27" s="10" t="inlineStr">
        <is>
          <t>Shock</t>
        </is>
      </c>
      <c r="B27" s="7" t="inlineStr">
        <is>
          <t>Shock: Services attach rate (services revenue as % of merchandise sales)</t>
        </is>
      </c>
      <c r="D27" s="18" t="n">
        <v>0</v>
      </c>
      <c r="E27" s="18" t="n">
        <v>0</v>
      </c>
      <c r="F27" s="18" t="n">
        <v>0</v>
      </c>
      <c r="G27" s="18" t="n">
        <v>0</v>
      </c>
      <c r="H27" s="18" t="n">
        <v>0</v>
      </c>
      <c r="I27" s="18" t="n">
        <v>0</v>
      </c>
      <c r="J27" s="18" t="n">
        <v>0</v>
      </c>
      <c r="K27" s="18" t="n">
        <v>0</v>
      </c>
      <c r="L27" s="18" t="n">
        <v>0</v>
      </c>
      <c r="M27" s="18" t="n">
        <v>0</v>
      </c>
      <c r="N27" s="10" t="inlineStr">
        <is>
          <t>% of merch.</t>
        </is>
      </c>
    </row>
    <row r="28">
      <c r="A28" s="10" t="inlineStr">
        <is>
          <t>Shock</t>
        </is>
      </c>
      <c r="B28" s="7" t="inlineStr">
        <is>
          <t>Shock: Other (non-retail / diamond sourcing) revenue growth</t>
        </is>
      </c>
      <c r="D28" s="18" t="n">
        <v>0</v>
      </c>
      <c r="E28" s="18" t="n">
        <v>0</v>
      </c>
      <c r="F28" s="18" t="n">
        <v>0</v>
      </c>
      <c r="G28" s="18" t="n">
        <v>0</v>
      </c>
      <c r="H28" s="18" t="n">
        <v>0</v>
      </c>
      <c r="I28" s="18" t="n">
        <v>0</v>
      </c>
      <c r="J28" s="18" t="n">
        <v>0</v>
      </c>
      <c r="K28" s="18" t="n">
        <v>0</v>
      </c>
      <c r="L28" s="18" t="n">
        <v>0</v>
      </c>
      <c r="M28" s="18" t="n">
        <v>0</v>
      </c>
      <c r="N28" s="10" t="inlineStr">
        <is>
          <t>% p.a.</t>
        </is>
      </c>
    </row>
    <row r="29">
      <c r="A29" s="10" t="inlineStr">
        <is>
          <t>Shock</t>
        </is>
      </c>
      <c r="B29" s="7" t="inlineStr">
        <is>
          <t>Shock: Cost of sales (incl. store occupancy) as % of total sales</t>
        </is>
      </c>
      <c r="D29" s="18" t="n">
        <v>0</v>
      </c>
      <c r="E29" s="18" t="n">
        <v>0</v>
      </c>
      <c r="F29" s="18" t="n">
        <v>0</v>
      </c>
      <c r="G29" s="18" t="n">
        <v>0</v>
      </c>
      <c r="H29" s="18" t="n">
        <v>0</v>
      </c>
      <c r="I29" s="18" t="n">
        <v>0</v>
      </c>
      <c r="J29" s="18" t="n">
        <v>0</v>
      </c>
      <c r="K29" s="18" t="n">
        <v>0</v>
      </c>
      <c r="L29" s="18" t="n">
        <v>0</v>
      </c>
      <c r="M29" s="18" t="n">
        <v>0</v>
      </c>
      <c r="N29" s="10" t="inlineStr">
        <is>
          <t>% of sales</t>
        </is>
      </c>
    </row>
    <row r="30">
      <c r="A30" s="10" t="inlineStr">
        <is>
          <t>Shock</t>
        </is>
      </c>
      <c r="B30" s="7" t="inlineStr">
        <is>
          <t>Shock: Variable SG&amp;A (store payroll, advertising, credit) as % of total sales</t>
        </is>
      </c>
      <c r="D30" s="18" t="n">
        <v>0</v>
      </c>
      <c r="E30" s="18" t="n">
        <v>0</v>
      </c>
      <c r="F30" s="18" t="n">
        <v>0</v>
      </c>
      <c r="G30" s="18" t="n">
        <v>0</v>
      </c>
      <c r="H30" s="18" t="n">
        <v>0</v>
      </c>
      <c r="I30" s="18" t="n">
        <v>0</v>
      </c>
      <c r="J30" s="18" t="n">
        <v>0</v>
      </c>
      <c r="K30" s="18" t="n">
        <v>0</v>
      </c>
      <c r="L30" s="18" t="n">
        <v>0</v>
      </c>
      <c r="M30" s="18" t="n">
        <v>0</v>
      </c>
      <c r="N30" s="10" t="inlineStr">
        <is>
          <t>% of sales</t>
        </is>
      </c>
    </row>
    <row r="31">
      <c r="A31" s="10" t="inlineStr">
        <is>
          <t>Shock</t>
        </is>
      </c>
      <c r="B31" s="7" t="inlineStr">
        <is>
          <t>Shock: Fixed SG&amp;A inflation (corporate, support, fixed store overhead)</t>
        </is>
      </c>
      <c r="D31" s="18" t="n">
        <v>0</v>
      </c>
      <c r="E31" s="18" t="n">
        <v>0</v>
      </c>
      <c r="F31" s="18" t="n">
        <v>0</v>
      </c>
      <c r="G31" s="18" t="n">
        <v>0</v>
      </c>
      <c r="H31" s="18" t="n">
        <v>0</v>
      </c>
      <c r="I31" s="18" t="n">
        <v>0</v>
      </c>
      <c r="J31" s="18" t="n">
        <v>0</v>
      </c>
      <c r="K31" s="18" t="n">
        <v>0</v>
      </c>
      <c r="L31" s="18" t="n">
        <v>0</v>
      </c>
      <c r="M31" s="18" t="n">
        <v>0</v>
      </c>
      <c r="N31" s="10" t="inlineStr">
        <is>
          <t>% p.a.</t>
        </is>
      </c>
    </row>
    <row r="32">
      <c r="A32" s="10" t="inlineStr">
        <is>
          <t>Shock</t>
        </is>
      </c>
      <c r="B32" s="7" t="inlineStr">
        <is>
          <t>Shock: Cost-savings initiatives (incremental run-rate cut to fixed SG&amp;A)</t>
        </is>
      </c>
      <c r="D32" s="20" t="n">
        <v>0</v>
      </c>
      <c r="E32" s="20" t="n">
        <v>0</v>
      </c>
      <c r="F32" s="20" t="n">
        <v>0</v>
      </c>
      <c r="G32" s="20" t="n">
        <v>0</v>
      </c>
      <c r="H32" s="20" t="n">
        <v>0</v>
      </c>
      <c r="I32" s="20" t="n">
        <v>0</v>
      </c>
      <c r="J32" s="20" t="n">
        <v>0</v>
      </c>
      <c r="K32" s="20" t="n">
        <v>0</v>
      </c>
      <c r="L32" s="20" t="n">
        <v>0</v>
      </c>
      <c r="M32" s="20" t="n">
        <v>0</v>
      </c>
      <c r="N32" s="10" t="inlineStr">
        <is>
          <t>$M</t>
        </is>
      </c>
    </row>
    <row r="33">
      <c r="A33" s="10" t="inlineStr">
        <is>
          <t>Shock</t>
        </is>
      </c>
      <c r="B33" s="7" t="inlineStr">
        <is>
          <t>Shock: Other operating income / (expense), one-time items (+ = income)</t>
        </is>
      </c>
      <c r="D33" s="20" t="n">
        <v>0</v>
      </c>
      <c r="E33" s="20" t="n">
        <v>0</v>
      </c>
      <c r="F33" s="20" t="n">
        <v>0</v>
      </c>
      <c r="G33" s="20" t="n">
        <v>0</v>
      </c>
      <c r="H33" s="20" t="n">
        <v>0</v>
      </c>
      <c r="I33" s="20" t="n">
        <v>0</v>
      </c>
      <c r="J33" s="20" t="n">
        <v>0</v>
      </c>
      <c r="K33" s="20" t="n">
        <v>0</v>
      </c>
      <c r="L33" s="20" t="n">
        <v>0</v>
      </c>
      <c r="M33" s="20" t="n">
        <v>0</v>
      </c>
      <c r="N33" s="10" t="inlineStr">
        <is>
          <t>$M</t>
        </is>
      </c>
    </row>
    <row r="34">
      <c r="A34" s="10" t="inlineStr">
        <is>
          <t>Shock</t>
        </is>
      </c>
      <c r="B34" s="7" t="inlineStr">
        <is>
          <t>Shock: Net yield on invested assets (cash &amp; equivalents)</t>
        </is>
      </c>
      <c r="D34" s="18" t="n">
        <v>0</v>
      </c>
      <c r="E34" s="18" t="n">
        <v>0</v>
      </c>
      <c r="F34" s="18" t="n">
        <v>0</v>
      </c>
      <c r="G34" s="18" t="n">
        <v>0</v>
      </c>
      <c r="H34" s="18" t="n">
        <v>0</v>
      </c>
      <c r="I34" s="18" t="n">
        <v>0</v>
      </c>
      <c r="J34" s="18" t="n">
        <v>0</v>
      </c>
      <c r="K34" s="18" t="n">
        <v>0</v>
      </c>
      <c r="L34" s="18" t="n">
        <v>0</v>
      </c>
      <c r="M34" s="18" t="n">
        <v>0</v>
      </c>
      <c r="N34" s="10" t="inlineStr">
        <is>
          <t>% of prior-yr cash</t>
        </is>
      </c>
    </row>
    <row r="35">
      <c r="A35" s="10" t="inlineStr">
        <is>
          <t>Shock</t>
        </is>
      </c>
      <c r="B35" s="7" t="inlineStr">
        <is>
          <t>Shock: Interest rate on debt (ABL revolver; debt is zero in baseline)</t>
        </is>
      </c>
      <c r="D35" s="18" t="n">
        <v>0</v>
      </c>
      <c r="E35" s="18" t="n">
        <v>0</v>
      </c>
      <c r="F35" s="18" t="n">
        <v>0</v>
      </c>
      <c r="G35" s="18" t="n">
        <v>0</v>
      </c>
      <c r="H35" s="18" t="n">
        <v>0</v>
      </c>
      <c r="I35" s="18" t="n">
        <v>0</v>
      </c>
      <c r="J35" s="18" t="n">
        <v>0</v>
      </c>
      <c r="K35" s="18" t="n">
        <v>0</v>
      </c>
      <c r="L35" s="18" t="n">
        <v>0</v>
      </c>
      <c r="M35" s="18" t="n">
        <v>0</v>
      </c>
      <c r="N35" s="10" t="inlineStr">
        <is>
          <t>% of prior-yr debt</t>
        </is>
      </c>
    </row>
    <row r="36">
      <c r="A36" s="10" t="inlineStr">
        <is>
          <t>Shock</t>
        </is>
      </c>
      <c r="B36" s="7" t="inlineStr">
        <is>
          <t>Shock: Effective income tax rate</t>
        </is>
      </c>
      <c r="D36" s="18" t="n">
        <v>0</v>
      </c>
      <c r="E36" s="18" t="n">
        <v>0</v>
      </c>
      <c r="F36" s="18" t="n">
        <v>0</v>
      </c>
      <c r="G36" s="18" t="n">
        <v>0</v>
      </c>
      <c r="H36" s="18" t="n">
        <v>0</v>
      </c>
      <c r="I36" s="18" t="n">
        <v>0</v>
      </c>
      <c r="J36" s="18" t="n">
        <v>0</v>
      </c>
      <c r="K36" s="18" t="n">
        <v>0</v>
      </c>
      <c r="L36" s="18" t="n">
        <v>0</v>
      </c>
      <c r="M36" s="18" t="n">
        <v>0</v>
      </c>
      <c r="N36" s="10" t="inlineStr">
        <is>
          <t>% of pre-tax</t>
        </is>
      </c>
    </row>
    <row r="37">
      <c r="A37" s="10" t="inlineStr">
        <is>
          <t>Shock</t>
        </is>
      </c>
      <c r="B37" s="7" t="inlineStr">
        <is>
          <t>Shock: Discount rate (cost of equity, CAPM) - single rate for the segment</t>
        </is>
      </c>
      <c r="D37" s="18" t="n">
        <v>0</v>
      </c>
      <c r="N37" s="10" t="inlineStr">
        <is>
          <t>% p.a.</t>
        </is>
      </c>
    </row>
    <row r="39">
      <c r="A39" s="12" t="inlineStr">
        <is>
          <t>ASSUMPTIONS FOR SCENARIO RUN  (every cell = baseline + shock; the projection reads ONLY this block)</t>
        </is>
      </c>
      <c r="B39" s="13" t="n"/>
      <c r="C39" s="13" t="n"/>
      <c r="D39" s="13" t="n"/>
      <c r="E39" s="13" t="n"/>
      <c r="F39" s="13" t="n"/>
      <c r="G39" s="13" t="n"/>
      <c r="H39" s="13" t="n"/>
      <c r="I39" s="13" t="n"/>
      <c r="J39" s="13" t="n"/>
      <c r="K39" s="13" t="n"/>
      <c r="L39" s="13" t="n"/>
      <c r="M39" s="13" t="n"/>
      <c r="N39" s="13" t="n"/>
      <c r="O39" s="13" t="n"/>
    </row>
    <row r="40">
      <c r="A40" s="10" t="inlineStr">
        <is>
          <t>Scenario</t>
        </is>
      </c>
      <c r="B40" s="7" t="inlineStr">
        <is>
          <t>Scenario: Gross store openings (number of stores)</t>
        </is>
      </c>
      <c r="D40" s="16">
        <f>D6+D23</f>
        <v/>
      </c>
      <c r="E40" s="16">
        <f>E6+E23</f>
        <v/>
      </c>
      <c r="F40" s="16">
        <f>F6+F23</f>
        <v/>
      </c>
      <c r="G40" s="16">
        <f>G6+G23</f>
        <v/>
      </c>
      <c r="H40" s="16">
        <f>H6+H23</f>
        <v/>
      </c>
      <c r="I40" s="16">
        <f>I6+I23</f>
        <v/>
      </c>
      <c r="J40" s="16">
        <f>J6+J23</f>
        <v/>
      </c>
      <c r="K40" s="16">
        <f>K6+K23</f>
        <v/>
      </c>
      <c r="L40" s="16">
        <f>L6+L23</f>
        <v/>
      </c>
      <c r="M40" s="16">
        <f>M6+M23</f>
        <v/>
      </c>
      <c r="N40" s="10" t="inlineStr">
        <is>
          <t># stores</t>
        </is>
      </c>
    </row>
    <row r="41">
      <c r="A41" s="10" t="inlineStr">
        <is>
          <t>Scenario</t>
        </is>
      </c>
      <c r="B41" s="7" t="inlineStr">
        <is>
          <t>Scenario: Store closures (number of stores)</t>
        </is>
      </c>
      <c r="D41" s="16">
        <f>D7+D24</f>
        <v/>
      </c>
      <c r="E41" s="16">
        <f>E7+E24</f>
        <v/>
      </c>
      <c r="F41" s="16">
        <f>F7+F24</f>
        <v/>
      </c>
      <c r="G41" s="16">
        <f>G7+G24</f>
        <v/>
      </c>
      <c r="H41" s="16">
        <f>H7+H24</f>
        <v/>
      </c>
      <c r="I41" s="16">
        <f>I7+I24</f>
        <v/>
      </c>
      <c r="J41" s="16">
        <f>J7+J24</f>
        <v/>
      </c>
      <c r="K41" s="16">
        <f>K7+K24</f>
        <v/>
      </c>
      <c r="L41" s="16">
        <f>L7+L24</f>
        <v/>
      </c>
      <c r="M41" s="16">
        <f>M7+M24</f>
        <v/>
      </c>
      <c r="N41" s="10" t="inlineStr">
        <is>
          <t># stores</t>
        </is>
      </c>
    </row>
    <row r="42">
      <c r="A42" s="10" t="inlineStr">
        <is>
          <t>Scenario</t>
        </is>
      </c>
      <c r="B42" s="7" t="inlineStr">
        <is>
          <t>Scenario: Same-store sales growth (applied to merchandise sales per average store)</t>
        </is>
      </c>
      <c r="D42" s="19">
        <f>D8+D25</f>
        <v/>
      </c>
      <c r="E42" s="19">
        <f>E8+E25</f>
        <v/>
      </c>
      <c r="F42" s="19">
        <f>F8+F25</f>
        <v/>
      </c>
      <c r="G42" s="19">
        <f>G8+G25</f>
        <v/>
      </c>
      <c r="H42" s="19">
        <f>H8+H25</f>
        <v/>
      </c>
      <c r="I42" s="19">
        <f>I8+I25</f>
        <v/>
      </c>
      <c r="J42" s="19">
        <f>J8+J25</f>
        <v/>
      </c>
      <c r="K42" s="19">
        <f>K8+K25</f>
        <v/>
      </c>
      <c r="L42" s="19">
        <f>L8+L25</f>
        <v/>
      </c>
      <c r="M42" s="19">
        <f>M8+M25</f>
        <v/>
      </c>
      <c r="N42" s="10" t="inlineStr">
        <is>
          <t>% p.a.</t>
        </is>
      </c>
    </row>
    <row r="43">
      <c r="A43" s="10" t="inlineStr">
        <is>
          <t>Scenario</t>
        </is>
      </c>
      <c r="B43" s="7" t="inlineStr">
        <is>
          <t>Scenario: E-commerce merchandise sales growth</t>
        </is>
      </c>
      <c r="D43" s="19">
        <f>D9+D26</f>
        <v/>
      </c>
      <c r="E43" s="19">
        <f>E9+E26</f>
        <v/>
      </c>
      <c r="F43" s="19">
        <f>F9+F26</f>
        <v/>
      </c>
      <c r="G43" s="19">
        <f>G9+G26</f>
        <v/>
      </c>
      <c r="H43" s="19">
        <f>H9+H26</f>
        <v/>
      </c>
      <c r="I43" s="19">
        <f>I9+I26</f>
        <v/>
      </c>
      <c r="J43" s="19">
        <f>J9+J26</f>
        <v/>
      </c>
      <c r="K43" s="19">
        <f>K9+K26</f>
        <v/>
      </c>
      <c r="L43" s="19">
        <f>L9+L26</f>
        <v/>
      </c>
      <c r="M43" s="19">
        <f>M9+M26</f>
        <v/>
      </c>
      <c r="N43" s="10" t="inlineStr">
        <is>
          <t>% p.a.</t>
        </is>
      </c>
    </row>
    <row r="44">
      <c r="A44" s="10" t="inlineStr">
        <is>
          <t>Scenario</t>
        </is>
      </c>
      <c r="B44" s="7" t="inlineStr">
        <is>
          <t>Scenario: Services attach rate (services revenue as % of merchandise sales)</t>
        </is>
      </c>
      <c r="D44" s="19">
        <f>D10+D27</f>
        <v/>
      </c>
      <c r="E44" s="19">
        <f>E10+E27</f>
        <v/>
      </c>
      <c r="F44" s="19">
        <f>F10+F27</f>
        <v/>
      </c>
      <c r="G44" s="19">
        <f>G10+G27</f>
        <v/>
      </c>
      <c r="H44" s="19">
        <f>H10+H27</f>
        <v/>
      </c>
      <c r="I44" s="19">
        <f>I10+I27</f>
        <v/>
      </c>
      <c r="J44" s="19">
        <f>J10+J27</f>
        <v/>
      </c>
      <c r="K44" s="19">
        <f>K10+K27</f>
        <v/>
      </c>
      <c r="L44" s="19">
        <f>L10+L27</f>
        <v/>
      </c>
      <c r="M44" s="19">
        <f>M10+M27</f>
        <v/>
      </c>
      <c r="N44" s="10" t="inlineStr">
        <is>
          <t>% of merch.</t>
        </is>
      </c>
    </row>
    <row r="45">
      <c r="A45" s="10" t="inlineStr">
        <is>
          <t>Scenario</t>
        </is>
      </c>
      <c r="B45" s="7" t="inlineStr">
        <is>
          <t>Scenario: Other (non-retail / diamond sourcing) revenue growth</t>
        </is>
      </c>
      <c r="D45" s="19">
        <f>D11+D28</f>
        <v/>
      </c>
      <c r="E45" s="19">
        <f>E11+E28</f>
        <v/>
      </c>
      <c r="F45" s="19">
        <f>F11+F28</f>
        <v/>
      </c>
      <c r="G45" s="19">
        <f>G11+G28</f>
        <v/>
      </c>
      <c r="H45" s="19">
        <f>H11+H28</f>
        <v/>
      </c>
      <c r="I45" s="19">
        <f>I11+I28</f>
        <v/>
      </c>
      <c r="J45" s="19">
        <f>J11+J28</f>
        <v/>
      </c>
      <c r="K45" s="19">
        <f>K11+K28</f>
        <v/>
      </c>
      <c r="L45" s="19">
        <f>L11+L28</f>
        <v/>
      </c>
      <c r="M45" s="19">
        <f>M11+M28</f>
        <v/>
      </c>
      <c r="N45" s="10" t="inlineStr">
        <is>
          <t>% p.a.</t>
        </is>
      </c>
    </row>
    <row r="46">
      <c r="A46" s="10" t="inlineStr">
        <is>
          <t>Scenario</t>
        </is>
      </c>
      <c r="B46" s="7" t="inlineStr">
        <is>
          <t>Scenario: Cost of sales (incl. store occupancy) as % of total sales</t>
        </is>
      </c>
      <c r="D46" s="19">
        <f>D12+D29</f>
        <v/>
      </c>
      <c r="E46" s="19">
        <f>E12+E29</f>
        <v/>
      </c>
      <c r="F46" s="19">
        <f>F12+F29</f>
        <v/>
      </c>
      <c r="G46" s="19">
        <f>G12+G29</f>
        <v/>
      </c>
      <c r="H46" s="19">
        <f>H12+H29</f>
        <v/>
      </c>
      <c r="I46" s="19">
        <f>I12+I29</f>
        <v/>
      </c>
      <c r="J46" s="19">
        <f>J12+J29</f>
        <v/>
      </c>
      <c r="K46" s="19">
        <f>K12+K29</f>
        <v/>
      </c>
      <c r="L46" s="19">
        <f>L12+L29</f>
        <v/>
      </c>
      <c r="M46" s="19">
        <f>M12+M29</f>
        <v/>
      </c>
      <c r="N46" s="10" t="inlineStr">
        <is>
          <t>% of sales</t>
        </is>
      </c>
    </row>
    <row r="47">
      <c r="A47" s="10" t="inlineStr">
        <is>
          <t>Scenario</t>
        </is>
      </c>
      <c r="B47" s="7" t="inlineStr">
        <is>
          <t>Scenario: Variable SG&amp;A (store payroll, advertising, credit) as % of total sales</t>
        </is>
      </c>
      <c r="D47" s="19">
        <f>D13+D30</f>
        <v/>
      </c>
      <c r="E47" s="19">
        <f>E13+E30</f>
        <v/>
      </c>
      <c r="F47" s="19">
        <f>F13+F30</f>
        <v/>
      </c>
      <c r="G47" s="19">
        <f>G13+G30</f>
        <v/>
      </c>
      <c r="H47" s="19">
        <f>H13+H30</f>
        <v/>
      </c>
      <c r="I47" s="19">
        <f>I13+I30</f>
        <v/>
      </c>
      <c r="J47" s="19">
        <f>J13+J30</f>
        <v/>
      </c>
      <c r="K47" s="19">
        <f>K13+K30</f>
        <v/>
      </c>
      <c r="L47" s="19">
        <f>L13+L30</f>
        <v/>
      </c>
      <c r="M47" s="19">
        <f>M13+M30</f>
        <v/>
      </c>
      <c r="N47" s="10" t="inlineStr">
        <is>
          <t>% of sales</t>
        </is>
      </c>
    </row>
    <row r="48">
      <c r="A48" s="10" t="inlineStr">
        <is>
          <t>Scenario</t>
        </is>
      </c>
      <c r="B48" s="7" t="inlineStr">
        <is>
          <t>Scenario: Fixed SG&amp;A inflation (corporate, support, fixed store overhead)</t>
        </is>
      </c>
      <c r="D48" s="19">
        <f>D14+D31</f>
        <v/>
      </c>
      <c r="E48" s="19">
        <f>E14+E31</f>
        <v/>
      </c>
      <c r="F48" s="19">
        <f>F14+F31</f>
        <v/>
      </c>
      <c r="G48" s="19">
        <f>G14+G31</f>
        <v/>
      </c>
      <c r="H48" s="19">
        <f>H14+H31</f>
        <v/>
      </c>
      <c r="I48" s="19">
        <f>I14+I31</f>
        <v/>
      </c>
      <c r="J48" s="19">
        <f>J14+J31</f>
        <v/>
      </c>
      <c r="K48" s="19">
        <f>K14+K31</f>
        <v/>
      </c>
      <c r="L48" s="19">
        <f>L14+L31</f>
        <v/>
      </c>
      <c r="M48" s="19">
        <f>M14+M31</f>
        <v/>
      </c>
      <c r="N48" s="10" t="inlineStr">
        <is>
          <t>% p.a.</t>
        </is>
      </c>
    </row>
    <row r="49">
      <c r="A49" s="10" t="inlineStr">
        <is>
          <t>Scenario</t>
        </is>
      </c>
      <c r="B49" s="7" t="inlineStr">
        <is>
          <t>Scenario: Cost-savings initiatives (incremental run-rate cut to fixed SG&amp;A)</t>
        </is>
      </c>
      <c r="D49" s="21">
        <f>D15+D32</f>
        <v/>
      </c>
      <c r="E49" s="21">
        <f>E15+E32</f>
        <v/>
      </c>
      <c r="F49" s="21">
        <f>F15+F32</f>
        <v/>
      </c>
      <c r="G49" s="21">
        <f>G15+G32</f>
        <v/>
      </c>
      <c r="H49" s="21">
        <f>H15+H32</f>
        <v/>
      </c>
      <c r="I49" s="21">
        <f>I15+I32</f>
        <v/>
      </c>
      <c r="J49" s="21">
        <f>J15+J32</f>
        <v/>
      </c>
      <c r="K49" s="21">
        <f>K15+K32</f>
        <v/>
      </c>
      <c r="L49" s="21">
        <f>L15+L32</f>
        <v/>
      </c>
      <c r="M49" s="21">
        <f>M15+M32</f>
        <v/>
      </c>
      <c r="N49" s="10" t="inlineStr">
        <is>
          <t>$M</t>
        </is>
      </c>
    </row>
    <row r="50">
      <c r="A50" s="10" t="inlineStr">
        <is>
          <t>Scenario</t>
        </is>
      </c>
      <c r="B50" s="7" t="inlineStr">
        <is>
          <t>Scenario: Other operating income / (expense), one-time items (+ = income)</t>
        </is>
      </c>
      <c r="D50" s="21">
        <f>D16+D33</f>
        <v/>
      </c>
      <c r="E50" s="21">
        <f>E16+E33</f>
        <v/>
      </c>
      <c r="F50" s="21">
        <f>F16+F33</f>
        <v/>
      </c>
      <c r="G50" s="21">
        <f>G16+G33</f>
        <v/>
      </c>
      <c r="H50" s="21">
        <f>H16+H33</f>
        <v/>
      </c>
      <c r="I50" s="21">
        <f>I16+I33</f>
        <v/>
      </c>
      <c r="J50" s="21">
        <f>J16+J33</f>
        <v/>
      </c>
      <c r="K50" s="21">
        <f>K16+K33</f>
        <v/>
      </c>
      <c r="L50" s="21">
        <f>L16+L33</f>
        <v/>
      </c>
      <c r="M50" s="21">
        <f>M16+M33</f>
        <v/>
      </c>
      <c r="N50" s="10" t="inlineStr">
        <is>
          <t>$M</t>
        </is>
      </c>
    </row>
    <row r="51">
      <c r="A51" s="10" t="inlineStr">
        <is>
          <t>Scenario</t>
        </is>
      </c>
      <c r="B51" s="7" t="inlineStr">
        <is>
          <t>Scenario: Net yield on invested assets (cash &amp; equivalents)</t>
        </is>
      </c>
      <c r="D51" s="19">
        <f>D17+D34</f>
        <v/>
      </c>
      <c r="E51" s="19">
        <f>E17+E34</f>
        <v/>
      </c>
      <c r="F51" s="19">
        <f>F17+F34</f>
        <v/>
      </c>
      <c r="G51" s="19">
        <f>G17+G34</f>
        <v/>
      </c>
      <c r="H51" s="19">
        <f>H17+H34</f>
        <v/>
      </c>
      <c r="I51" s="19">
        <f>I17+I34</f>
        <v/>
      </c>
      <c r="J51" s="19">
        <f>J17+J34</f>
        <v/>
      </c>
      <c r="K51" s="19">
        <f>K17+K34</f>
        <v/>
      </c>
      <c r="L51" s="19">
        <f>L17+L34</f>
        <v/>
      </c>
      <c r="M51" s="19">
        <f>M17+M34</f>
        <v/>
      </c>
      <c r="N51" s="10" t="inlineStr">
        <is>
          <t>% of prior-yr cash</t>
        </is>
      </c>
    </row>
    <row r="52">
      <c r="A52" s="10" t="inlineStr">
        <is>
          <t>Scenario</t>
        </is>
      </c>
      <c r="B52" s="7" t="inlineStr">
        <is>
          <t>Scenario: Interest rate on debt (ABL revolver; debt is zero in baseline)</t>
        </is>
      </c>
      <c r="D52" s="19">
        <f>D18+D35</f>
        <v/>
      </c>
      <c r="E52" s="19">
        <f>E18+E35</f>
        <v/>
      </c>
      <c r="F52" s="19">
        <f>F18+F35</f>
        <v/>
      </c>
      <c r="G52" s="19">
        <f>G18+G35</f>
        <v/>
      </c>
      <c r="H52" s="19">
        <f>H18+H35</f>
        <v/>
      </c>
      <c r="I52" s="19">
        <f>I18+I35</f>
        <v/>
      </c>
      <c r="J52" s="19">
        <f>J18+J35</f>
        <v/>
      </c>
      <c r="K52" s="19">
        <f>K18+K35</f>
        <v/>
      </c>
      <c r="L52" s="19">
        <f>L18+L35</f>
        <v/>
      </c>
      <c r="M52" s="19">
        <f>M18+M35</f>
        <v/>
      </c>
      <c r="N52" s="10" t="inlineStr">
        <is>
          <t>% of prior-yr debt</t>
        </is>
      </c>
    </row>
    <row r="53">
      <c r="A53" s="10" t="inlineStr">
        <is>
          <t>Scenario</t>
        </is>
      </c>
      <c r="B53" s="7" t="inlineStr">
        <is>
          <t>Scenario: Effective income tax rate</t>
        </is>
      </c>
      <c r="D53" s="19">
        <f>D19+D36</f>
        <v/>
      </c>
      <c r="E53" s="19">
        <f>E19+E36</f>
        <v/>
      </c>
      <c r="F53" s="19">
        <f>F19+F36</f>
        <v/>
      </c>
      <c r="G53" s="19">
        <f>G19+G36</f>
        <v/>
      </c>
      <c r="H53" s="19">
        <f>H19+H36</f>
        <v/>
      </c>
      <c r="I53" s="19">
        <f>I19+I36</f>
        <v/>
      </c>
      <c r="J53" s="19">
        <f>J19+J36</f>
        <v/>
      </c>
      <c r="K53" s="19">
        <f>K19+K36</f>
        <v/>
      </c>
      <c r="L53" s="19">
        <f>L19+L36</f>
        <v/>
      </c>
      <c r="M53" s="19">
        <f>M19+M36</f>
        <v/>
      </c>
      <c r="N53" s="10" t="inlineStr">
        <is>
          <t>% of pre-tax</t>
        </is>
      </c>
    </row>
    <row r="54">
      <c r="A54" s="10" t="inlineStr">
        <is>
          <t>Scenario</t>
        </is>
      </c>
      <c r="B54" s="7" t="inlineStr">
        <is>
          <t>Scenario: Discount rate (cost of equity, CAPM) - single rate for the segment</t>
        </is>
      </c>
      <c r="D54" s="19">
        <f>D20+D37</f>
        <v/>
      </c>
      <c r="N54" s="10" t="inlineStr">
        <is>
          <t>% p.a.</t>
        </is>
      </c>
    </row>
    <row r="56">
      <c r="A56" s="12" t="inlineStr">
        <is>
          <t>PROJECTION  ($ millions unless stated; all formulas read the SCENARIO block, never the baseline block directly)</t>
        </is>
      </c>
      <c r="B56" s="13" t="n"/>
      <c r="C56" s="13" t="n"/>
      <c r="D56" s="13" t="n"/>
      <c r="E56" s="13" t="n"/>
      <c r="F56" s="13" t="n"/>
      <c r="G56" s="13" t="n"/>
      <c r="H56" s="13" t="n"/>
      <c r="I56" s="13" t="n"/>
      <c r="J56" s="13" t="n"/>
      <c r="K56" s="13" t="n"/>
      <c r="L56" s="13" t="n"/>
      <c r="M56" s="13" t="n"/>
      <c r="N56" s="13" t="n"/>
      <c r="O56" s="13" t="n"/>
    </row>
    <row r="57">
      <c r="A57" s="22" t="inlineStr">
        <is>
          <t>Drivers</t>
        </is>
      </c>
      <c r="B57" s="23" t="inlineStr">
        <is>
          <t>OPERATING DRIVERS</t>
        </is>
      </c>
      <c r="C57" s="24" t="n"/>
      <c r="D57" s="24" t="n"/>
      <c r="E57" s="24" t="n"/>
      <c r="F57" s="24" t="n"/>
      <c r="G57" s="24" t="n"/>
      <c r="H57" s="24" t="n"/>
      <c r="I57" s="24" t="n"/>
      <c r="J57" s="24" t="n"/>
      <c r="K57" s="24" t="n"/>
      <c r="L57" s="24" t="n"/>
      <c r="M57" s="24" t="n"/>
      <c r="N57" s="24" t="n"/>
      <c r="O57" s="24" t="n"/>
    </row>
    <row r="58">
      <c r="B58" s="7" t="inlineStr">
        <is>
          <t>Stores - beginning of year</t>
        </is>
      </c>
      <c r="C58" s="17" t="n">
        <v>2379</v>
      </c>
      <c r="D58" s="16">
        <f>C61</f>
        <v/>
      </c>
      <c r="E58" s="16">
        <f>D61</f>
        <v/>
      </c>
      <c r="F58" s="16">
        <f>E61</f>
        <v/>
      </c>
      <c r="G58" s="16">
        <f>F61</f>
        <v/>
      </c>
      <c r="H58" s="16">
        <f>G61</f>
        <v/>
      </c>
      <c r="I58" s="16">
        <f>H61</f>
        <v/>
      </c>
      <c r="J58" s="16">
        <f>I61</f>
        <v/>
      </c>
      <c r="K58" s="16">
        <f>J61</f>
        <v/>
      </c>
      <c r="L58" s="16">
        <f>K61</f>
        <v/>
      </c>
      <c r="M58" s="16">
        <f>L61</f>
        <v/>
      </c>
      <c r="N58" s="10" t="inlineStr">
        <is>
          <t># stores</t>
        </is>
      </c>
      <c r="O58" s="10" t="inlineStr">
        <is>
          <t>Last Yr = stores at Feb 1, 2025 (10-K FY2026).</t>
        </is>
      </c>
    </row>
    <row r="59">
      <c r="B59" s="7" t="inlineStr">
        <is>
          <t>Gross store openings</t>
        </is>
      </c>
      <c r="C59" s="17" t="n">
        <v>14</v>
      </c>
      <c r="D59" s="16">
        <f>D40</f>
        <v/>
      </c>
      <c r="E59" s="16">
        <f>E40</f>
        <v/>
      </c>
      <c r="F59" s="16">
        <f>F40</f>
        <v/>
      </c>
      <c r="G59" s="16">
        <f>G40</f>
        <v/>
      </c>
      <c r="H59" s="16">
        <f>H40</f>
        <v/>
      </c>
      <c r="I59" s="16">
        <f>I40</f>
        <v/>
      </c>
      <c r="J59" s="16">
        <f>J40</f>
        <v/>
      </c>
      <c r="K59" s="16">
        <f>K40</f>
        <v/>
      </c>
      <c r="L59" s="16">
        <f>L40</f>
        <v/>
      </c>
      <c r="M59" s="16">
        <f>M40</f>
        <v/>
      </c>
      <c r="N59" s="10" t="inlineStr">
        <is>
          <t># stores</t>
        </is>
      </c>
      <c r="O59" s="10" t="inlineStr"/>
    </row>
    <row r="60">
      <c r="B60" s="7" t="inlineStr">
        <is>
          <t>Store closures</t>
        </is>
      </c>
      <c r="C60" s="17" t="n">
        <v>64</v>
      </c>
      <c r="D60" s="16">
        <f>D41</f>
        <v/>
      </c>
      <c r="E60" s="16">
        <f>E41</f>
        <v/>
      </c>
      <c r="F60" s="16">
        <f>F41</f>
        <v/>
      </c>
      <c r="G60" s="16">
        <f>G41</f>
        <v/>
      </c>
      <c r="H60" s="16">
        <f>H41</f>
        <v/>
      </c>
      <c r="I60" s="16">
        <f>I41</f>
        <v/>
      </c>
      <c r="J60" s="16">
        <f>J41</f>
        <v/>
      </c>
      <c r="K60" s="16">
        <f>K41</f>
        <v/>
      </c>
      <c r="L60" s="16">
        <f>L41</f>
        <v/>
      </c>
      <c r="M60" s="16">
        <f>M41</f>
        <v/>
      </c>
      <c r="N60" s="10" t="inlineStr">
        <is>
          <t># stores</t>
        </is>
      </c>
      <c r="O60" s="10" t="inlineStr"/>
    </row>
    <row r="61">
      <c r="B61" s="7" t="inlineStr">
        <is>
          <t>Stores - end of year</t>
        </is>
      </c>
      <c r="C61" s="16">
        <f>C58+C59-C60</f>
        <v/>
      </c>
      <c r="D61" s="16">
        <f>D58+D59-D60</f>
        <v/>
      </c>
      <c r="E61" s="16">
        <f>E58+E59-E60</f>
        <v/>
      </c>
      <c r="F61" s="16">
        <f>F58+F59-F60</f>
        <v/>
      </c>
      <c r="G61" s="16">
        <f>G58+G59-G60</f>
        <v/>
      </c>
      <c r="H61" s="16">
        <f>H58+H59-H60</f>
        <v/>
      </c>
      <c r="I61" s="16">
        <f>I58+I59-I60</f>
        <v/>
      </c>
      <c r="J61" s="16">
        <f>J58+J59-J60</f>
        <v/>
      </c>
      <c r="K61" s="16">
        <f>K58+K59-K60</f>
        <v/>
      </c>
      <c r="L61" s="16">
        <f>L58+L59-L60</f>
        <v/>
      </c>
      <c r="M61" s="16">
        <f>M58+M59-M60</f>
        <v/>
      </c>
      <c r="N61" s="10" t="inlineStr">
        <is>
          <t># stores</t>
        </is>
      </c>
      <c r="O61" s="10" t="inlineStr"/>
    </row>
    <row r="62">
      <c r="B62" s="7" t="inlineStr">
        <is>
          <t>Average stores in operation</t>
        </is>
      </c>
      <c r="C62" s="21">
        <f>AVERAGE(C58,C61)</f>
        <v/>
      </c>
      <c r="D62" s="21">
        <f>AVERAGE(D58,D61)</f>
        <v/>
      </c>
      <c r="E62" s="21">
        <f>AVERAGE(E58,E61)</f>
        <v/>
      </c>
      <c r="F62" s="21">
        <f>AVERAGE(F58,F61)</f>
        <v/>
      </c>
      <c r="G62" s="21">
        <f>AVERAGE(G58,G61)</f>
        <v/>
      </c>
      <c r="H62" s="21">
        <f>AVERAGE(H58,H61)</f>
        <v/>
      </c>
      <c r="I62" s="21">
        <f>AVERAGE(I58,I61)</f>
        <v/>
      </c>
      <c r="J62" s="21">
        <f>AVERAGE(J58,J61)</f>
        <v/>
      </c>
      <c r="K62" s="21">
        <f>AVERAGE(K58,K61)</f>
        <v/>
      </c>
      <c r="L62" s="21">
        <f>AVERAGE(L58,L61)</f>
        <v/>
      </c>
      <c r="M62" s="21">
        <f>AVERAGE(M58,M61)</f>
        <v/>
      </c>
      <c r="N62" s="10" t="inlineStr">
        <is>
          <t># stores</t>
        </is>
      </c>
      <c r="O62" s="10" t="inlineStr"/>
    </row>
    <row r="63">
      <c r="B63" s="7" t="inlineStr">
        <is>
          <t>Store merchandise sales per average store</t>
        </is>
      </c>
      <c r="C63" s="25">
        <f>IF(C62=0,0,C66/C62)</f>
        <v/>
      </c>
      <c r="D63" s="25">
        <f>C63*(1+D42)</f>
        <v/>
      </c>
      <c r="E63" s="25">
        <f>D63*(1+E42)</f>
        <v/>
      </c>
      <c r="F63" s="25">
        <f>E63*(1+F42)</f>
        <v/>
      </c>
      <c r="G63" s="25">
        <f>F63*(1+G42)</f>
        <v/>
      </c>
      <c r="H63" s="25">
        <f>G63*(1+H42)</f>
        <v/>
      </c>
      <c r="I63" s="25">
        <f>H63*(1+I42)</f>
        <v/>
      </c>
      <c r="J63" s="25">
        <f>I63*(1+J42)</f>
        <v/>
      </c>
      <c r="K63" s="25">
        <f>J63*(1+K42)</f>
        <v/>
      </c>
      <c r="L63" s="25">
        <f>K63*(1+L42)</f>
        <v/>
      </c>
      <c r="M63" s="25">
        <f>L63*(1+M42)</f>
        <v/>
      </c>
      <c r="N63" s="10" t="inlineStr">
        <is>
          <t>$M / store</t>
        </is>
      </c>
      <c r="O63" s="10" t="inlineStr">
        <is>
          <t>Last Yr calibrated = store merchandise sales / average stores; grows at same-store-sales assumption.</t>
        </is>
      </c>
    </row>
    <row r="64"/>
    <row r="65">
      <c r="A65" s="22" t="inlineStr">
        <is>
          <t>Income stmt</t>
        </is>
      </c>
      <c r="B65" s="23" t="inlineStr">
        <is>
          <t>INCOME STATEMENT</t>
        </is>
      </c>
      <c r="C65" s="24" t="n"/>
      <c r="D65" s="24" t="n"/>
      <c r="E65" s="24" t="n"/>
      <c r="F65" s="24" t="n"/>
      <c r="G65" s="24" t="n"/>
      <c r="H65" s="24" t="n"/>
      <c r="I65" s="24" t="n"/>
      <c r="J65" s="24" t="n"/>
      <c r="K65" s="24" t="n"/>
      <c r="L65" s="24" t="n"/>
      <c r="M65" s="24" t="n"/>
      <c r="N65" s="24" t="n"/>
      <c r="O65" s="24" t="n"/>
    </row>
    <row r="66">
      <c r="B66" s="7" t="inlineStr">
        <is>
          <t>Store merchandise sales (average stores x sales per store)</t>
        </is>
      </c>
      <c r="C66" s="20" t="n">
        <v>4179.8</v>
      </c>
      <c r="D66" s="21">
        <f>D62*D63</f>
        <v/>
      </c>
      <c r="E66" s="21">
        <f>E62*E63</f>
        <v/>
      </c>
      <c r="F66" s="21">
        <f>F62*F63</f>
        <v/>
      </c>
      <c r="G66" s="21">
        <f>G62*G63</f>
        <v/>
      </c>
      <c r="H66" s="21">
        <f>H62*H63</f>
        <v/>
      </c>
      <c r="I66" s="21">
        <f>I62*I63</f>
        <v/>
      </c>
      <c r="J66" s="21">
        <f>J62*J63</f>
        <v/>
      </c>
      <c r="K66" s="21">
        <f>K62*K63</f>
        <v/>
      </c>
      <c r="L66" s="21">
        <f>L62*L63</f>
        <v/>
      </c>
      <c r="M66" s="21">
        <f>M62*M63</f>
        <v/>
      </c>
      <c r="N66" s="10" t="inlineStr">
        <is>
          <t>$M</t>
        </is>
      </c>
      <c r="O66" s="10" t="inlineStr"/>
    </row>
    <row r="67">
      <c r="B67" s="7" t="inlineStr">
        <is>
          <t>E-commerce merchandise sales</t>
        </is>
      </c>
      <c r="C67" s="20" t="n">
        <v>1423.8</v>
      </c>
      <c r="D67" s="21">
        <f>C67*(1+D43)</f>
        <v/>
      </c>
      <c r="E67" s="21">
        <f>D67*(1+E43)</f>
        <v/>
      </c>
      <c r="F67" s="21">
        <f>E67*(1+F43)</f>
        <v/>
      </c>
      <c r="G67" s="21">
        <f>F67*(1+G43)</f>
        <v/>
      </c>
      <c r="H67" s="21">
        <f>G67*(1+H43)</f>
        <v/>
      </c>
      <c r="I67" s="21">
        <f>H67*(1+I43)</f>
        <v/>
      </c>
      <c r="J67" s="21">
        <f>I67*(1+J43)</f>
        <v/>
      </c>
      <c r="K67" s="21">
        <f>J67*(1+K43)</f>
        <v/>
      </c>
      <c r="L67" s="21">
        <f>K67*(1+L43)</f>
        <v/>
      </c>
      <c r="M67" s="21">
        <f>L67*(1+M43)</f>
        <v/>
      </c>
      <c r="N67" s="10" t="inlineStr">
        <is>
          <t>$M</t>
        </is>
      </c>
      <c r="O67" s="10" t="inlineStr">
        <is>
          <t>Last Yr: NA 1,423.8 incl. James Allen + Blue Nile 481.5; company e-commerce 21.8% of sales.</t>
        </is>
      </c>
    </row>
    <row r="68">
      <c r="B68" s="7" t="inlineStr">
        <is>
          <t>Services revenue (extended service plans, repairs, custom design)</t>
        </is>
      </c>
      <c r="C68" s="20" t="n">
        <v>760</v>
      </c>
      <c r="D68" s="21">
        <f>(D66+D67)*D44</f>
        <v/>
      </c>
      <c r="E68" s="21">
        <f>(E66+E67)*E44</f>
        <v/>
      </c>
      <c r="F68" s="21">
        <f>(F66+F67)*F44</f>
        <v/>
      </c>
      <c r="G68" s="21">
        <f>(G66+G67)*G44</f>
        <v/>
      </c>
      <c r="H68" s="21">
        <f>(H66+H67)*H44</f>
        <v/>
      </c>
      <c r="I68" s="21">
        <f>(I66+I67)*I44</f>
        <v/>
      </c>
      <c r="J68" s="21">
        <f>(J66+J67)*J44</f>
        <v/>
      </c>
      <c r="K68" s="21">
        <f>(K66+K67)*K44</f>
        <v/>
      </c>
      <c r="L68" s="21">
        <f>(L66+L67)*L44</f>
        <v/>
      </c>
      <c r="M68" s="21">
        <f>(M66+M67)*M44</f>
        <v/>
      </c>
      <c r="N68" s="10" t="inlineStr">
        <is>
          <t>$M</t>
        </is>
      </c>
      <c r="O68" s="10" t="inlineStr">
        <is>
          <t>FY2026 services 803.5 consolidated (10-K); attach rate assumption x merchandise sales.</t>
        </is>
      </c>
    </row>
    <row r="69">
      <c r="B69" s="7" t="inlineStr">
        <is>
          <t>Other revenue (diamond sourcing / non-retail)</t>
        </is>
      </c>
      <c r="C69" s="20" t="n">
        <v>0</v>
      </c>
      <c r="D69" s="21">
        <f>C69*(1+D45)</f>
        <v/>
      </c>
      <c r="E69" s="21">
        <f>D69*(1+E45)</f>
        <v/>
      </c>
      <c r="F69" s="21">
        <f>E69*(1+F45)</f>
        <v/>
      </c>
      <c r="G69" s="21">
        <f>F69*(1+G45)</f>
        <v/>
      </c>
      <c r="H69" s="21">
        <f>G69*(1+H45)</f>
        <v/>
      </c>
      <c r="I69" s="21">
        <f>H69*(1+I45)</f>
        <v/>
      </c>
      <c r="J69" s="21">
        <f>I69*(1+J45)</f>
        <v/>
      </c>
      <c r="K69" s="21">
        <f>J69*(1+K45)</f>
        <v/>
      </c>
      <c r="L69" s="21">
        <f>K69*(1+L45)</f>
        <v/>
      </c>
      <c r="M69" s="21">
        <f>L69*(1+M45)</f>
        <v/>
      </c>
      <c r="N69" s="10" t="inlineStr">
        <is>
          <t>$M</t>
        </is>
      </c>
      <c r="O69" s="10" t="inlineStr">
        <is>
          <t>Diamond-sourcing sales to third parties (Other segment).</t>
        </is>
      </c>
    </row>
    <row r="70">
      <c r="B70" s="3" t="inlineStr">
        <is>
          <t>TOTAL SALES</t>
        </is>
      </c>
      <c r="C70" s="26">
        <f>SUM(C66:C69)</f>
        <v/>
      </c>
      <c r="D70" s="26">
        <f>SUM(D66:D69)</f>
        <v/>
      </c>
      <c r="E70" s="26">
        <f>SUM(E66:E69)</f>
        <v/>
      </c>
      <c r="F70" s="26">
        <f>SUM(F66:F69)</f>
        <v/>
      </c>
      <c r="G70" s="26">
        <f>SUM(G66:G69)</f>
        <v/>
      </c>
      <c r="H70" s="26">
        <f>SUM(H66:H69)</f>
        <v/>
      </c>
      <c r="I70" s="26">
        <f>SUM(I66:I69)</f>
        <v/>
      </c>
      <c r="J70" s="26">
        <f>SUM(J66:J69)</f>
        <v/>
      </c>
      <c r="K70" s="26">
        <f>SUM(K66:K69)</f>
        <v/>
      </c>
      <c r="L70" s="26">
        <f>SUM(L66:L69)</f>
        <v/>
      </c>
      <c r="M70" s="26">
        <f>SUM(M66:M69)</f>
        <v/>
      </c>
      <c r="N70" s="10" t="inlineStr">
        <is>
          <t>$M</t>
        </is>
      </c>
      <c r="O70" s="10" t="inlineStr">
        <is>
          <t>FY2026A ties to reported segment sales.</t>
        </is>
      </c>
    </row>
    <row r="71">
      <c r="B71" s="7" t="inlineStr">
        <is>
          <t>Revenue growth (calculated check row)</t>
        </is>
      </c>
      <c r="D71" s="19">
        <f>IF(C70=0,0,D70/C70-1)</f>
        <v/>
      </c>
      <c r="E71" s="19">
        <f>IF(D70=0,0,E70/D70-1)</f>
        <v/>
      </c>
      <c r="F71" s="19">
        <f>IF(E70=0,0,F70/E70-1)</f>
        <v/>
      </c>
      <c r="G71" s="19">
        <f>IF(F70=0,0,G70/F70-1)</f>
        <v/>
      </c>
      <c r="H71" s="19">
        <f>IF(G70=0,0,H70/G70-1)</f>
        <v/>
      </c>
      <c r="I71" s="19">
        <f>IF(H70=0,0,I70/H70-1)</f>
        <v/>
      </c>
      <c r="J71" s="19">
        <f>IF(I70=0,0,J70/I70-1)</f>
        <v/>
      </c>
      <c r="K71" s="19">
        <f>IF(J70=0,0,K70/J70-1)</f>
        <v/>
      </c>
      <c r="L71" s="19">
        <f>IF(K70=0,0,L70/K70-1)</f>
        <v/>
      </c>
      <c r="M71" s="19">
        <f>IF(L70=0,0,M70/L70-1)</f>
        <v/>
      </c>
      <c r="N71" s="10" t="inlineStr">
        <is>
          <t>%</t>
        </is>
      </c>
      <c r="O71" s="10" t="inlineStr"/>
    </row>
    <row r="72">
      <c r="B72" s="7" t="inlineStr">
        <is>
          <t>Cost of sales (merchandise, services and store occupancy)</t>
        </is>
      </c>
      <c r="C72" s="20" t="n">
        <v>3803.5</v>
      </c>
      <c r="D72" s="21">
        <f>D70*D46</f>
        <v/>
      </c>
      <c r="E72" s="21">
        <f>E70*E46</f>
        <v/>
      </c>
      <c r="F72" s="21">
        <f>F70*F46</f>
        <v/>
      </c>
      <c r="G72" s="21">
        <f>G70*G46</f>
        <v/>
      </c>
      <c r="H72" s="21">
        <f>H70*H46</f>
        <v/>
      </c>
      <c r="I72" s="21">
        <f>I70*I46</f>
        <v/>
      </c>
      <c r="J72" s="21">
        <f>J70*J46</f>
        <v/>
      </c>
      <c r="K72" s="21">
        <f>K70*K46</f>
        <v/>
      </c>
      <c r="L72" s="21">
        <f>L70*L46</f>
        <v/>
      </c>
      <c r="M72" s="21">
        <f>M70*M46</f>
        <v/>
      </c>
      <c r="N72" s="10" t="inlineStr">
        <is>
          <t>$M</t>
        </is>
      </c>
      <c r="O72" s="10" t="inlineStr">
        <is>
          <t>Segment split of consolidated 4,119.0 is a team allocation (see Assumptions &amp; Sources).</t>
        </is>
      </c>
    </row>
    <row r="73">
      <c r="B73" s="3" t="inlineStr">
        <is>
          <t>Gross profit</t>
        </is>
      </c>
      <c r="C73" s="26">
        <f>C70-C72</f>
        <v/>
      </c>
      <c r="D73" s="26">
        <f>D70-D72</f>
        <v/>
      </c>
      <c r="E73" s="26">
        <f>E70-E72</f>
        <v/>
      </c>
      <c r="F73" s="26">
        <f>F70-F72</f>
        <v/>
      </c>
      <c r="G73" s="26">
        <f>G70-G72</f>
        <v/>
      </c>
      <c r="H73" s="26">
        <f>H70-H72</f>
        <v/>
      </c>
      <c r="I73" s="26">
        <f>I70-I72</f>
        <v/>
      </c>
      <c r="J73" s="26">
        <f>J70-J72</f>
        <v/>
      </c>
      <c r="K73" s="26">
        <f>K70-K72</f>
        <v/>
      </c>
      <c r="L73" s="26">
        <f>L70-L72</f>
        <v/>
      </c>
      <c r="M73" s="26">
        <f>M70-M72</f>
        <v/>
      </c>
      <c r="N73" s="10" t="inlineStr">
        <is>
          <t>$M</t>
        </is>
      </c>
      <c r="O73" s="10" t="inlineStr"/>
    </row>
    <row r="74">
      <c r="B74" s="7" t="inlineStr">
        <is>
          <t>Gross margin %</t>
        </is>
      </c>
      <c r="C74" s="19">
        <f>IF(C70=0,0,C73/C70)</f>
        <v/>
      </c>
      <c r="D74" s="19">
        <f>IF(D70=0,0,D73/D70)</f>
        <v/>
      </c>
      <c r="E74" s="19">
        <f>IF(E70=0,0,E73/E70)</f>
        <v/>
      </c>
      <c r="F74" s="19">
        <f>IF(F70=0,0,F73/F70)</f>
        <v/>
      </c>
      <c r="G74" s="19">
        <f>IF(G70=0,0,G73/G70)</f>
        <v/>
      </c>
      <c r="H74" s="19">
        <f>IF(H70=0,0,H73/H70)</f>
        <v/>
      </c>
      <c r="I74" s="19">
        <f>IF(I70=0,0,I73/I70)</f>
        <v/>
      </c>
      <c r="J74" s="19">
        <f>IF(J70=0,0,J73/J70)</f>
        <v/>
      </c>
      <c r="K74" s="19">
        <f>IF(K70=0,0,K73/K70)</f>
        <v/>
      </c>
      <c r="L74" s="19">
        <f>IF(L70=0,0,L73/L70)</f>
        <v/>
      </c>
      <c r="M74" s="19">
        <f>IF(M70=0,0,M73/M70)</f>
        <v/>
      </c>
      <c r="N74" s="10" t="inlineStr">
        <is>
          <t>%</t>
        </is>
      </c>
      <c r="O74" s="10" t="inlineStr"/>
    </row>
    <row r="75">
      <c r="B75" s="7" t="inlineStr">
        <is>
          <t>Variable SG&amp;A</t>
        </is>
      </c>
      <c r="C75" s="20" t="n">
        <v>1272.7</v>
      </c>
      <c r="D75" s="21">
        <f>D70*D47</f>
        <v/>
      </c>
      <c r="E75" s="21">
        <f>E70*E47</f>
        <v/>
      </c>
      <c r="F75" s="21">
        <f>F70*F47</f>
        <v/>
      </c>
      <c r="G75" s="21">
        <f>G70*G47</f>
        <v/>
      </c>
      <c r="H75" s="21">
        <f>H70*H47</f>
        <v/>
      </c>
      <c r="I75" s="21">
        <f>I70*I47</f>
        <v/>
      </c>
      <c r="J75" s="21">
        <f>J70*J47</f>
        <v/>
      </c>
      <c r="K75" s="21">
        <f>K70*K47</f>
        <v/>
      </c>
      <c r="L75" s="21">
        <f>L70*L47</f>
        <v/>
      </c>
      <c r="M75" s="21">
        <f>M70*M47</f>
        <v/>
      </c>
      <c r="N75" s="10" t="inlineStr">
        <is>
          <t>$M</t>
        </is>
      </c>
      <c r="O75" s="10" t="inlineStr"/>
    </row>
    <row r="76">
      <c r="B76" s="7" t="inlineStr">
        <is>
          <t>Fixed SG&amp;A (net of cost savings)</t>
        </is>
      </c>
      <c r="C76" s="20" t="n">
        <v>731.5</v>
      </c>
      <c r="D76" s="21">
        <f>C76*(1+D48)-D49</f>
        <v/>
      </c>
      <c r="E76" s="21">
        <f>D76*(1+E48)-E49</f>
        <v/>
      </c>
      <c r="F76" s="21">
        <f>E76*(1+F48)-F49</f>
        <v/>
      </c>
      <c r="G76" s="21">
        <f>F76*(1+G48)-G49</f>
        <v/>
      </c>
      <c r="H76" s="21">
        <f>G76*(1+H48)-H49</f>
        <v/>
      </c>
      <c r="I76" s="21">
        <f>H76*(1+I48)-I49</f>
        <v/>
      </c>
      <c r="J76" s="21">
        <f>I76*(1+J48)-J49</f>
        <v/>
      </c>
      <c r="K76" s="21">
        <f>J76*(1+K48)-K49</f>
        <v/>
      </c>
      <c r="L76" s="21">
        <f>K76*(1+L48)-L49</f>
        <v/>
      </c>
      <c r="M76" s="21">
        <f>L76*(1+M48)-M49</f>
        <v/>
      </c>
      <c r="N76" s="10" t="inlineStr">
        <is>
          <t>$M</t>
        </is>
      </c>
      <c r="O76" s="10" t="inlineStr">
        <is>
          <t>Last Yr fixed SG&amp;A = segment SG&amp;A less variable component.</t>
        </is>
      </c>
    </row>
    <row r="77">
      <c r="B77" s="7" t="inlineStr">
        <is>
          <t>Total SG&amp;A</t>
        </is>
      </c>
      <c r="C77" s="21">
        <f>C75+C76</f>
        <v/>
      </c>
      <c r="D77" s="21">
        <f>D75+D76</f>
        <v/>
      </c>
      <c r="E77" s="21">
        <f>E75+E76</f>
        <v/>
      </c>
      <c r="F77" s="21">
        <f>F75+F76</f>
        <v/>
      </c>
      <c r="G77" s="21">
        <f>G75+G76</f>
        <v/>
      </c>
      <c r="H77" s="21">
        <f>H75+H76</f>
        <v/>
      </c>
      <c r="I77" s="21">
        <f>I75+I76</f>
        <v/>
      </c>
      <c r="J77" s="21">
        <f>J75+J76</f>
        <v/>
      </c>
      <c r="K77" s="21">
        <f>K75+K76</f>
        <v/>
      </c>
      <c r="L77" s="21">
        <f>L75+L76</f>
        <v/>
      </c>
      <c r="M77" s="21">
        <f>M75+M76</f>
        <v/>
      </c>
      <c r="N77" s="10" t="inlineStr">
        <is>
          <t>$M</t>
        </is>
      </c>
      <c r="O77" s="10" t="inlineStr"/>
    </row>
    <row r="78">
      <c r="B78" s="7" t="inlineStr">
        <is>
          <t>SG&amp;A % of sales</t>
        </is>
      </c>
      <c r="C78" s="19">
        <f>IF(C70=0,0,C77/C70)</f>
        <v/>
      </c>
      <c r="D78" s="19">
        <f>IF(D70=0,0,D77/D70)</f>
        <v/>
      </c>
      <c r="E78" s="19">
        <f>IF(E70=0,0,E77/E70)</f>
        <v/>
      </c>
      <c r="F78" s="19">
        <f>IF(F70=0,0,F77/F70)</f>
        <v/>
      </c>
      <c r="G78" s="19">
        <f>IF(G70=0,0,G77/G70)</f>
        <v/>
      </c>
      <c r="H78" s="19">
        <f>IF(H70=0,0,H77/H70)</f>
        <v/>
      </c>
      <c r="I78" s="19">
        <f>IF(I70=0,0,I77/I70)</f>
        <v/>
      </c>
      <c r="J78" s="19">
        <f>IF(J70=0,0,J77/J70)</f>
        <v/>
      </c>
      <c r="K78" s="19">
        <f>IF(K70=0,0,K77/K70)</f>
        <v/>
      </c>
      <c r="L78" s="19">
        <f>IF(L70=0,0,L77/L70)</f>
        <v/>
      </c>
      <c r="M78" s="19">
        <f>IF(M70=0,0,M77/M70)</f>
        <v/>
      </c>
      <c r="N78" s="10" t="inlineStr">
        <is>
          <t>%</t>
        </is>
      </c>
      <c r="O78" s="10" t="inlineStr"/>
    </row>
    <row r="79">
      <c r="B79" s="7" t="inlineStr">
        <is>
          <t>Other operating income / (expense)</t>
        </is>
      </c>
      <c r="C79" s="20" t="n">
        <v>-103.3</v>
      </c>
      <c r="D79" s="21">
        <f>D50</f>
        <v/>
      </c>
      <c r="E79" s="21">
        <f>E50</f>
        <v/>
      </c>
      <c r="F79" s="21">
        <f>F50</f>
        <v/>
      </c>
      <c r="G79" s="21">
        <f>G50</f>
        <v/>
      </c>
      <c r="H79" s="21">
        <f>H50</f>
        <v/>
      </c>
      <c r="I79" s="21">
        <f>I50</f>
        <v/>
      </c>
      <c r="J79" s="21">
        <f>J50</f>
        <v/>
      </c>
      <c r="K79" s="21">
        <f>K50</f>
        <v/>
      </c>
      <c r="L79" s="21">
        <f>L50</f>
        <v/>
      </c>
      <c r="M79" s="21">
        <f>M50</f>
        <v/>
      </c>
      <c r="N79" s="10" t="inlineStr">
        <is>
          <t>$M</t>
        </is>
      </c>
      <c r="O79" s="10" t="inlineStr">
        <is>
          <t>Last Yr: impairments &amp; restructuring (consolidated -128.3); projection = one-time assumption row.</t>
        </is>
      </c>
    </row>
    <row r="80">
      <c r="B80" s="3" t="inlineStr">
        <is>
          <t>OPERATING INCOME</t>
        </is>
      </c>
      <c r="C80" s="26">
        <f>C73-C77+C79</f>
        <v/>
      </c>
      <c r="D80" s="26">
        <f>D73-D77+D79</f>
        <v/>
      </c>
      <c r="E80" s="26">
        <f>E73-E77+E79</f>
        <v/>
      </c>
      <c r="F80" s="26">
        <f>F73-F77+F79</f>
        <v/>
      </c>
      <c r="G80" s="26">
        <f>G73-G77+G79</f>
        <v/>
      </c>
      <c r="H80" s="26">
        <f>H73-H77+H79</f>
        <v/>
      </c>
      <c r="I80" s="26">
        <f>I73-I77+I79</f>
        <v/>
      </c>
      <c r="J80" s="26">
        <f>J73-J77+J79</f>
        <v/>
      </c>
      <c r="K80" s="26">
        <f>K73-K77+K79</f>
        <v/>
      </c>
      <c r="L80" s="26">
        <f>L73-L77+L79</f>
        <v/>
      </c>
      <c r="M80" s="26">
        <f>M73-M77+M79</f>
        <v/>
      </c>
      <c r="N80" s="10" t="inlineStr">
        <is>
          <t>$M</t>
        </is>
      </c>
      <c r="O80" s="10" t="inlineStr">
        <is>
          <t>FY2026A ties to reported segment operating income.</t>
        </is>
      </c>
    </row>
    <row r="81">
      <c r="B81" s="7" t="inlineStr">
        <is>
          <t>Operating margin %</t>
        </is>
      </c>
      <c r="C81" s="19">
        <f>IF(C70=0,0,C80/C70)</f>
        <v/>
      </c>
      <c r="D81" s="19">
        <f>IF(D70=0,0,D80/D70)</f>
        <v/>
      </c>
      <c r="E81" s="19">
        <f>IF(E70=0,0,E80/E70)</f>
        <v/>
      </c>
      <c r="F81" s="19">
        <f>IF(F70=0,0,F80/F70)</f>
        <v/>
      </c>
      <c r="G81" s="19">
        <f>IF(G70=0,0,G80/G70)</f>
        <v/>
      </c>
      <c r="H81" s="19">
        <f>IF(H70=0,0,H80/H70)</f>
        <v/>
      </c>
      <c r="I81" s="19">
        <f>IF(I70=0,0,I80/I70)</f>
        <v/>
      </c>
      <c r="J81" s="19">
        <f>IF(J70=0,0,J80/J70)</f>
        <v/>
      </c>
      <c r="K81" s="19">
        <f>IF(K70=0,0,K80/K70)</f>
        <v/>
      </c>
      <c r="L81" s="19">
        <f>IF(L70=0,0,L80/L70)</f>
        <v/>
      </c>
      <c r="M81" s="19">
        <f>IF(M70=0,0,M80/M70)</f>
        <v/>
      </c>
      <c r="N81" s="10" t="inlineStr">
        <is>
          <t>%</t>
        </is>
      </c>
      <c r="O81" s="10" t="inlineStr"/>
    </row>
    <row r="82">
      <c r="B82" s="7" t="inlineStr">
        <is>
          <t>Interest income on invested assets (yield x prior-year cash)</t>
        </is>
      </c>
      <c r="C82" s="20" t="n">
        <v>4.7</v>
      </c>
      <c r="D82" s="21">
        <f>C104*D51</f>
        <v/>
      </c>
      <c r="E82" s="21">
        <f>D104*E51</f>
        <v/>
      </c>
      <c r="F82" s="21">
        <f>E104*F51</f>
        <v/>
      </c>
      <c r="G82" s="21">
        <f>F104*G51</f>
        <v/>
      </c>
      <c r="H82" s="21">
        <f>G104*H51</f>
        <v/>
      </c>
      <c r="I82" s="21">
        <f>H104*I51</f>
        <v/>
      </c>
      <c r="J82" s="21">
        <f>I104*J51</f>
        <v/>
      </c>
      <c r="K82" s="21">
        <f>J104*K51</f>
        <v/>
      </c>
      <c r="L82" s="21">
        <f>K104*L51</f>
        <v/>
      </c>
      <c r="M82" s="21">
        <f>L104*M51</f>
        <v/>
      </c>
      <c r="N82" s="10" t="inlineStr">
        <is>
          <t>$M</t>
        </is>
      </c>
      <c r="O82" s="10" t="inlineStr">
        <is>
          <t>Last Yr = allocated share of 4.0 net interest + 1.0 other non-operating income.</t>
        </is>
      </c>
    </row>
    <row r="83">
      <c r="B83" s="7" t="inlineStr">
        <is>
          <t>Interest expense on debt (rate x prior-year debt)</t>
        </is>
      </c>
      <c r="C83" s="20" t="n">
        <v>0</v>
      </c>
      <c r="D83" s="21">
        <f>C107*D52</f>
        <v/>
      </c>
      <c r="E83" s="21">
        <f>D107*E52</f>
        <v/>
      </c>
      <c r="F83" s="21">
        <f>E107*F52</f>
        <v/>
      </c>
      <c r="G83" s="21">
        <f>F107*G52</f>
        <v/>
      </c>
      <c r="H83" s="21">
        <f>G107*H52</f>
        <v/>
      </c>
      <c r="I83" s="21">
        <f>H107*I52</f>
        <v/>
      </c>
      <c r="J83" s="21">
        <f>I107*J52</f>
        <v/>
      </c>
      <c r="K83" s="21">
        <f>J107*K52</f>
        <v/>
      </c>
      <c r="L83" s="21">
        <f>K107*L52</f>
        <v/>
      </c>
      <c r="M83" s="21">
        <f>L107*M52</f>
        <v/>
      </c>
      <c r="N83" s="10" t="inlineStr">
        <is>
          <t>$M</t>
        </is>
      </c>
      <c r="O83" s="10" t="inlineStr"/>
    </row>
    <row r="84">
      <c r="B84" s="3" t="inlineStr">
        <is>
          <t>Income before income taxes</t>
        </is>
      </c>
      <c r="C84" s="26">
        <f>C80+C82-C83</f>
        <v/>
      </c>
      <c r="D84" s="26">
        <f>D80+D82-D83</f>
        <v/>
      </c>
      <c r="E84" s="26">
        <f>E80+E82-E83</f>
        <v/>
      </c>
      <c r="F84" s="26">
        <f>F80+F82-F83</f>
        <v/>
      </c>
      <c r="G84" s="26">
        <f>G80+G82-G83</f>
        <v/>
      </c>
      <c r="H84" s="26">
        <f>H80+H82-H83</f>
        <v/>
      </c>
      <c r="I84" s="26">
        <f>I80+I82-I83</f>
        <v/>
      </c>
      <c r="J84" s="26">
        <f>J80+J82-J83</f>
        <v/>
      </c>
      <c r="K84" s="26">
        <f>K80+K82-K83</f>
        <v/>
      </c>
      <c r="L84" s="26">
        <f>L80+L82-L83</f>
        <v/>
      </c>
      <c r="M84" s="26">
        <f>M80+M82-M83</f>
        <v/>
      </c>
      <c r="N84" s="10" t="inlineStr">
        <is>
          <t>$M</t>
        </is>
      </c>
      <c r="O84" s="10" t="inlineStr"/>
    </row>
    <row r="85">
      <c r="B85" s="7" t="inlineStr">
        <is>
          <t>Pre-tax margin %</t>
        </is>
      </c>
      <c r="C85" s="19">
        <f>IF(C70=0,0,C84/C70)</f>
        <v/>
      </c>
      <c r="D85" s="19">
        <f>IF(D70=0,0,D84/D70)</f>
        <v/>
      </c>
      <c r="E85" s="19">
        <f>IF(E70=0,0,E84/E70)</f>
        <v/>
      </c>
      <c r="F85" s="19">
        <f>IF(F70=0,0,F84/F70)</f>
        <v/>
      </c>
      <c r="G85" s="19">
        <f>IF(G70=0,0,G84/G70)</f>
        <v/>
      </c>
      <c r="H85" s="19">
        <f>IF(H70=0,0,H84/H70)</f>
        <v/>
      </c>
      <c r="I85" s="19">
        <f>IF(I70=0,0,I84/I70)</f>
        <v/>
      </c>
      <c r="J85" s="19">
        <f>IF(J70=0,0,J84/J70)</f>
        <v/>
      </c>
      <c r="K85" s="19">
        <f>IF(K70=0,0,K84/K70)</f>
        <v/>
      </c>
      <c r="L85" s="19">
        <f>IF(L70=0,0,L84/L70)</f>
        <v/>
      </c>
      <c r="M85" s="19">
        <f>IF(M70=0,0,M84/M70)</f>
        <v/>
      </c>
      <c r="N85" s="10" t="inlineStr">
        <is>
          <t>%</t>
        </is>
      </c>
      <c r="O85" s="10" t="inlineStr"/>
    </row>
    <row r="86">
      <c r="B86" s="7" t="inlineStr">
        <is>
          <t>Income taxes</t>
        </is>
      </c>
      <c r="C86" s="20" t="n">
        <v>119.1</v>
      </c>
      <c r="D86" s="21">
        <f>D84*D53</f>
        <v/>
      </c>
      <c r="E86" s="21">
        <f>E84*E53</f>
        <v/>
      </c>
      <c r="F86" s="21">
        <f>F84*F53</f>
        <v/>
      </c>
      <c r="G86" s="21">
        <f>G84*G53</f>
        <v/>
      </c>
      <c r="H86" s="21">
        <f>H84*H53</f>
        <v/>
      </c>
      <c r="I86" s="21">
        <f>I84*I53</f>
        <v/>
      </c>
      <c r="J86" s="21">
        <f>J84*J53</f>
        <v/>
      </c>
      <c r="K86" s="21">
        <f>K84*K53</f>
        <v/>
      </c>
      <c r="L86" s="21">
        <f>L84*L53</f>
        <v/>
      </c>
      <c r="M86" s="21">
        <f>M84*M53</f>
        <v/>
      </c>
      <c r="N86" s="10" t="inlineStr">
        <is>
          <t>$M</t>
        </is>
      </c>
      <c r="O86" s="10" t="inlineStr">
        <is>
          <t>Last Yr = allocated share of 103.7 (26.0% effective rate).</t>
        </is>
      </c>
    </row>
    <row r="87">
      <c r="B87" s="3" t="inlineStr">
        <is>
          <t>NET INCOME</t>
        </is>
      </c>
      <c r="C87" s="26">
        <f>C84-C86</f>
        <v/>
      </c>
      <c r="D87" s="26">
        <f>D84-D86</f>
        <v/>
      </c>
      <c r="E87" s="26">
        <f>E84-E86</f>
        <v/>
      </c>
      <c r="F87" s="26">
        <f>F84-F86</f>
        <v/>
      </c>
      <c r="G87" s="26">
        <f>G84-G86</f>
        <v/>
      </c>
      <c r="H87" s="26">
        <f>H84-H86</f>
        <v/>
      </c>
      <c r="I87" s="26">
        <f>I84-I86</f>
        <v/>
      </c>
      <c r="J87" s="26">
        <f>J84-J86</f>
        <v/>
      </c>
      <c r="K87" s="26">
        <f>K84-K86</f>
        <v/>
      </c>
      <c r="L87" s="26">
        <f>L84-L86</f>
        <v/>
      </c>
      <c r="M87" s="26">
        <f>M84-M86</f>
        <v/>
      </c>
      <c r="N87" s="10" t="inlineStr">
        <is>
          <t>$M</t>
        </is>
      </c>
      <c r="O87" s="10" t="inlineStr"/>
    </row>
    <row r="88">
      <c r="B88" s="7" t="inlineStr">
        <is>
          <t>Net margin %</t>
        </is>
      </c>
      <c r="C88" s="19">
        <f>IF(C70=0,0,C87/C70)</f>
        <v/>
      </c>
      <c r="D88" s="19">
        <f>IF(D70=0,0,D87/D70)</f>
        <v/>
      </c>
      <c r="E88" s="19">
        <f>IF(E70=0,0,E87/E70)</f>
        <v/>
      </c>
      <c r="F88" s="19">
        <f>IF(F70=0,0,F87/F70)</f>
        <v/>
      </c>
      <c r="G88" s="19">
        <f>IF(G70=0,0,G87/G70)</f>
        <v/>
      </c>
      <c r="H88" s="19">
        <f>IF(H70=0,0,H87/H70)</f>
        <v/>
      </c>
      <c r="I88" s="19">
        <f>IF(I70=0,0,I87/I70)</f>
        <v/>
      </c>
      <c r="J88" s="19">
        <f>IF(J70=0,0,J87/J70)</f>
        <v/>
      </c>
      <c r="K88" s="19">
        <f>IF(K70=0,0,K87/K70)</f>
        <v/>
      </c>
      <c r="L88" s="19">
        <f>IF(L70=0,0,L87/L70)</f>
        <v/>
      </c>
      <c r="M88" s="19">
        <f>IF(M70=0,0,M87/M70)</f>
        <v/>
      </c>
      <c r="N88" s="10" t="inlineStr">
        <is>
          <t>%</t>
        </is>
      </c>
      <c r="O88" s="10" t="inlineStr"/>
    </row>
    <row r="89"/>
    <row r="90">
      <c r="A90" s="22" t="inlineStr">
        <is>
          <t>Valuation</t>
        </is>
      </c>
      <c r="B90" s="23" t="inlineStr">
        <is>
          <t>DISTRIBUTIONS &amp; VALUATION (profits-released approach)</t>
        </is>
      </c>
      <c r="C90" s="24" t="n"/>
      <c r="D90" s="24" t="n"/>
      <c r="E90" s="24" t="n"/>
      <c r="F90" s="24" t="n"/>
      <c r="G90" s="24" t="n"/>
      <c r="H90" s="24" t="n"/>
      <c r="I90" s="24" t="n"/>
      <c r="J90" s="24" t="n"/>
      <c r="K90" s="24" t="n"/>
      <c r="L90" s="24" t="n"/>
      <c r="M90" s="24" t="n"/>
      <c r="N90" s="24" t="n"/>
      <c r="O90" s="24" t="n"/>
    </row>
    <row r="91">
      <c r="B91" s="7" t="inlineStr">
        <is>
          <t>Distributions to shareholders (dividends + buybacks = net income)</t>
        </is>
      </c>
      <c r="C91" s="21">
        <f>C87</f>
        <v/>
      </c>
      <c r="D91" s="21">
        <f>D87</f>
        <v/>
      </c>
      <c r="E91" s="21">
        <f>E87</f>
        <v/>
      </c>
      <c r="F91" s="21">
        <f>F87</f>
        <v/>
      </c>
      <c r="G91" s="21">
        <f>G87</f>
        <v/>
      </c>
      <c r="H91" s="21">
        <f>H87</f>
        <v/>
      </c>
      <c r="I91" s="21">
        <f>I87</f>
        <v/>
      </c>
      <c r="J91" s="21">
        <f>J87</f>
        <v/>
      </c>
      <c r="K91" s="21">
        <f>K87</f>
        <v/>
      </c>
      <c r="L91" s="21">
        <f>L87</f>
        <v/>
      </c>
      <c r="M91" s="21">
        <f>M87</f>
        <v/>
      </c>
      <c r="N91" s="10" t="inlineStr">
        <is>
          <t>$M</t>
        </is>
      </c>
      <c r="O91" s="10" t="inlineStr">
        <is>
          <t>Profits released: 100% of net income distributed (dividends + buybacks).</t>
        </is>
      </c>
    </row>
    <row r="92">
      <c r="B92" s="7" t="inlineStr">
        <is>
          <t>Earnings retained in equity</t>
        </is>
      </c>
      <c r="C92" s="21">
        <f>C87-C91</f>
        <v/>
      </c>
      <c r="D92" s="21">
        <f>D87-D91</f>
        <v/>
      </c>
      <c r="E92" s="21">
        <f>E87-E91</f>
        <v/>
      </c>
      <c r="F92" s="21">
        <f>F87-F91</f>
        <v/>
      </c>
      <c r="G92" s="21">
        <f>G87-G91</f>
        <v/>
      </c>
      <c r="H92" s="21">
        <f>H87-H91</f>
        <v/>
      </c>
      <c r="I92" s="21">
        <f>I87-I91</f>
        <v/>
      </c>
      <c r="J92" s="21">
        <f>J87-J91</f>
        <v/>
      </c>
      <c r="K92" s="21">
        <f>K87-K91</f>
        <v/>
      </c>
      <c r="L92" s="21">
        <f>L87-L91</f>
        <v/>
      </c>
      <c r="M92" s="21">
        <f>M87-M91</f>
        <v/>
      </c>
      <c r="N92" s="10" t="inlineStr">
        <is>
          <t>$M</t>
        </is>
      </c>
      <c r="O92" s="10" t="inlineStr">
        <is>
          <t>Zero under profits released; would be positive under profits retained.</t>
        </is>
      </c>
    </row>
    <row r="93">
      <c r="B93" s="7" t="inlineStr">
        <is>
          <t>Distributable cash flow to shareholders (discounted below)</t>
        </is>
      </c>
      <c r="D93" s="21">
        <f>D91</f>
        <v/>
      </c>
      <c r="E93" s="21">
        <f>E91</f>
        <v/>
      </c>
      <c r="F93" s="21">
        <f>F91</f>
        <v/>
      </c>
      <c r="G93" s="21">
        <f>G91</f>
        <v/>
      </c>
      <c r="H93" s="21">
        <f>H91</f>
        <v/>
      </c>
      <c r="I93" s="21">
        <f>I91</f>
        <v/>
      </c>
      <c r="J93" s="21">
        <f>J91</f>
        <v/>
      </c>
      <c r="K93" s="21">
        <f>K91</f>
        <v/>
      </c>
      <c r="L93" s="21">
        <f>L91</f>
        <v/>
      </c>
      <c r="M93" s="21">
        <f>M91</f>
        <v/>
      </c>
      <c r="N93" s="10" t="inlineStr">
        <is>
          <t>$M</t>
        </is>
      </c>
      <c r="O93" s="10" t="inlineStr"/>
    </row>
    <row r="94">
      <c r="B94" s="7" t="inlineStr">
        <is>
          <t>Discount rate used (from scenario block)</t>
        </is>
      </c>
      <c r="C94" s="19">
        <f>D54</f>
        <v/>
      </c>
      <c r="N94" s="10" t="inlineStr">
        <is>
          <t>%</t>
        </is>
      </c>
      <c r="O94" s="10" t="inlineStr">
        <is>
          <t>Reads the scenario-run discount rate so a discount-rate shock flows through.</t>
        </is>
      </c>
    </row>
    <row r="95">
      <c r="B95" s="7" t="inlineStr">
        <is>
          <t>Terminal value = shareholders' equity at end of FY2036</t>
        </is>
      </c>
      <c r="C95" s="21">
        <f>M110</f>
        <v/>
      </c>
      <c r="N95" s="10" t="inlineStr">
        <is>
          <t>$M</t>
        </is>
      </c>
      <c r="O95" s="10" t="inlineStr"/>
    </row>
    <row r="96">
      <c r="B96" s="7" t="inlineStr">
        <is>
          <t>PV of FY2027-FY2036 distributable cash flows</t>
        </is>
      </c>
      <c r="C96" s="21">
        <f>NPV(C94,D93:M93)</f>
        <v/>
      </c>
      <c r="N96" s="10" t="inlineStr">
        <is>
          <t>$M</t>
        </is>
      </c>
      <c r="O96" s="10" t="inlineStr">
        <is>
          <t>NPV over the 10 model years (end-of-year cash flows).</t>
        </is>
      </c>
    </row>
    <row r="97">
      <c r="B97" s="7" t="inlineStr">
        <is>
          <t>PV of terminal value</t>
        </is>
      </c>
      <c r="C97" s="21">
        <f>C95/(1+C94)^10</f>
        <v/>
      </c>
      <c r="N97" s="10" t="inlineStr">
        <is>
          <t>$M</t>
        </is>
      </c>
      <c r="O97" s="10" t="inlineStr">
        <is>
          <t>Terminal equity discounted 10 years.</t>
        </is>
      </c>
    </row>
    <row r="98">
      <c r="B98" s="3" t="inlineStr">
        <is>
          <t>SEGMENT VALUE - BASELINE (snapshot, hard-coded for 3(d) comparison)</t>
        </is>
      </c>
      <c r="C98" s="27" t="n">
        <v>3452.22</v>
      </c>
      <c r="N98" s="10" t="inlineStr">
        <is>
          <t>$M</t>
        </is>
      </c>
      <c r="O98" s="10" t="inlineStr">
        <is>
          <t>Hard-coded copy of the live value (blue). In 3(d), shocks move the SCENARIO value; this stays fixed.</t>
        </is>
      </c>
    </row>
    <row r="99">
      <c r="B99" s="3" t="inlineStr">
        <is>
          <t>SEGMENT VALUE - SCENARIO RUN (live formula)</t>
        </is>
      </c>
      <c r="C99" s="26">
        <f>C96+C97</f>
        <v/>
      </c>
      <c r="N99" s="10" t="inlineStr">
        <is>
          <t>$M</t>
        </is>
      </c>
      <c r="O99" s="10" t="inlineStr">
        <is>
          <t>PV of distributable cash flows + PV of terminal equity.</t>
        </is>
      </c>
    </row>
    <row r="100">
      <c r="B100" s="7" t="inlineStr">
        <is>
          <t>% change vs baseline</t>
        </is>
      </c>
      <c r="C100" s="19">
        <f>IF(C98=0,0,C99/C98-1)</f>
        <v/>
      </c>
      <c r="N100" s="10" t="inlineStr">
        <is>
          <t>%</t>
        </is>
      </c>
      <c r="O100" s="10" t="inlineStr"/>
    </row>
    <row r="101">
      <c r="B101" s="7" t="inlineStr">
        <is>
          <t>$ change vs baseline</t>
        </is>
      </c>
      <c r="C101" s="21">
        <f>C99-C98</f>
        <v/>
      </c>
      <c r="N101" s="10" t="inlineStr">
        <is>
          <t>$M</t>
        </is>
      </c>
      <c r="O101" s="10" t="inlineStr"/>
    </row>
    <row r="102"/>
    <row r="103">
      <c r="A103" s="22" t="inlineStr">
        <is>
          <t>Balance sheet</t>
        </is>
      </c>
      <c r="B103" s="23" t="inlineStr">
        <is>
          <t>BALANCE SHEET (simplified, cash basis, year-end)</t>
        </is>
      </c>
      <c r="C103" s="24" t="n"/>
      <c r="D103" s="24" t="n"/>
      <c r="E103" s="24" t="n"/>
      <c r="F103" s="24" t="n"/>
      <c r="G103" s="24" t="n"/>
      <c r="H103" s="24" t="n"/>
      <c r="I103" s="24" t="n"/>
      <c r="J103" s="24" t="n"/>
      <c r="K103" s="24" t="n"/>
      <c r="L103" s="24" t="n"/>
      <c r="M103" s="24" t="n"/>
      <c r="N103" s="24" t="n"/>
      <c r="O103" s="24" t="n"/>
    </row>
    <row r="104">
      <c r="B104" s="7" t="inlineStr">
        <is>
          <t>Invested assets (cash &amp; cash equivalents)</t>
        </is>
      </c>
      <c r="C104" s="20" t="n">
        <v>817</v>
      </c>
      <c r="D104" s="21">
        <f>C104+D92</f>
        <v/>
      </c>
      <c r="E104" s="21">
        <f>D104+E92</f>
        <v/>
      </c>
      <c r="F104" s="21">
        <f>E104+F92</f>
        <v/>
      </c>
      <c r="G104" s="21">
        <f>F104+G92</f>
        <v/>
      </c>
      <c r="H104" s="21">
        <f>G104+H92</f>
        <v/>
      </c>
      <c r="I104" s="21">
        <f>H104+I92</f>
        <v/>
      </c>
      <c r="J104" s="21">
        <f>I104+J92</f>
        <v/>
      </c>
      <c r="K104" s="21">
        <f>J104+K92</f>
        <v/>
      </c>
      <c r="L104" s="21">
        <f>K104+L92</f>
        <v/>
      </c>
      <c r="M104" s="21">
        <f>L104+M92</f>
        <v/>
      </c>
      <c r="N104" s="10" t="inlineStr">
        <is>
          <t>$M</t>
        </is>
      </c>
      <c r="O104" s="10" t="inlineStr">
        <is>
          <t>Static under profits released (grows only by retained earnings).</t>
        </is>
      </c>
    </row>
    <row r="105">
      <c r="B105" s="7" t="inlineStr">
        <is>
          <t>Inventory and other non-depreciating operating assets</t>
        </is>
      </c>
      <c r="C105" s="20" t="n">
        <v>1812</v>
      </c>
      <c r="D105" s="21">
        <f>C105</f>
        <v/>
      </c>
      <c r="E105" s="21">
        <f>D105</f>
        <v/>
      </c>
      <c r="F105" s="21">
        <f>E105</f>
        <v/>
      </c>
      <c r="G105" s="21">
        <f>F105</f>
        <v/>
      </c>
      <c r="H105" s="21">
        <f>G105</f>
        <v/>
      </c>
      <c r="I105" s="21">
        <f>H105</f>
        <v/>
      </c>
      <c r="J105" s="21">
        <f>I105</f>
        <v/>
      </c>
      <c r="K105" s="21">
        <f>J105</f>
        <v/>
      </c>
      <c r="L105" s="21">
        <f>K105</f>
        <v/>
      </c>
      <c r="M105" s="21">
        <f>L105</f>
        <v/>
      </c>
      <c r="N105" s="10" t="inlineStr">
        <is>
          <t>$M</t>
        </is>
      </c>
      <c r="O105" s="10" t="inlineStr">
        <is>
          <t>Non-depreciating operating asset held flat (no working-capital build modelled).</t>
        </is>
      </c>
    </row>
    <row r="106">
      <c r="B106" s="3" t="inlineStr">
        <is>
          <t>Total assets</t>
        </is>
      </c>
      <c r="C106" s="26">
        <f>C104+C105</f>
        <v/>
      </c>
      <c r="D106" s="26">
        <f>D104+D105</f>
        <v/>
      </c>
      <c r="E106" s="26">
        <f>E104+E105</f>
        <v/>
      </c>
      <c r="F106" s="26">
        <f>F104+F105</f>
        <v/>
      </c>
      <c r="G106" s="26">
        <f>G104+G105</f>
        <v/>
      </c>
      <c r="H106" s="26">
        <f>H104+H105</f>
        <v/>
      </c>
      <c r="I106" s="26">
        <f>I104+I105</f>
        <v/>
      </c>
      <c r="J106" s="26">
        <f>J104+J105</f>
        <v/>
      </c>
      <c r="K106" s="26">
        <f>K104+K105</f>
        <v/>
      </c>
      <c r="L106" s="26">
        <f>L104+L105</f>
        <v/>
      </c>
      <c r="M106" s="26">
        <f>M104+M105</f>
        <v/>
      </c>
      <c r="N106" s="10" t="inlineStr">
        <is>
          <t>$M</t>
        </is>
      </c>
      <c r="O106" s="10" t="inlineStr"/>
    </row>
    <row r="107">
      <c r="B107" s="7" t="inlineStr">
        <is>
          <t>Debt</t>
        </is>
      </c>
      <c r="C107" s="20" t="n">
        <v>0</v>
      </c>
      <c r="D107" s="21">
        <f>C107</f>
        <v/>
      </c>
      <c r="E107" s="21">
        <f>D107</f>
        <v/>
      </c>
      <c r="F107" s="21">
        <f>E107</f>
        <v/>
      </c>
      <c r="G107" s="21">
        <f>F107</f>
        <v/>
      </c>
      <c r="H107" s="21">
        <f>G107</f>
        <v/>
      </c>
      <c r="I107" s="21">
        <f>H107</f>
        <v/>
      </c>
      <c r="J107" s="21">
        <f>I107</f>
        <v/>
      </c>
      <c r="K107" s="21">
        <f>J107</f>
        <v/>
      </c>
      <c r="L107" s="21">
        <f>K107</f>
        <v/>
      </c>
      <c r="M107" s="21">
        <f>L107</f>
        <v/>
      </c>
      <c r="N107" s="10" t="inlineStr">
        <is>
          <t>$M</t>
        </is>
      </c>
      <c r="O107" s="10" t="inlineStr"/>
    </row>
    <row r="108">
      <c r="B108" s="7" t="inlineStr">
        <is>
          <t>Other liabilities, net (calibrated to reported equity)</t>
        </is>
      </c>
      <c r="C108" s="20" t="n">
        <v>792.7</v>
      </c>
      <c r="D108" s="21">
        <f>C108</f>
        <v/>
      </c>
      <c r="E108" s="21">
        <f>D108</f>
        <v/>
      </c>
      <c r="F108" s="21">
        <f>E108</f>
        <v/>
      </c>
      <c r="G108" s="21">
        <f>F108</f>
        <v/>
      </c>
      <c r="H108" s="21">
        <f>G108</f>
        <v/>
      </c>
      <c r="I108" s="21">
        <f>H108</f>
        <v/>
      </c>
      <c r="J108" s="21">
        <f>I108</f>
        <v/>
      </c>
      <c r="K108" s="21">
        <f>J108</f>
        <v/>
      </c>
      <c r="L108" s="21">
        <f>K108</f>
        <v/>
      </c>
      <c r="M108" s="21">
        <f>L108</f>
        <v/>
      </c>
      <c r="N108" s="10" t="inlineStr">
        <is>
          <t>$M</t>
        </is>
      </c>
      <c r="O108" s="10" t="inlineStr">
        <is>
          <t>Plug so that FY2026A simplified equity = reported shareholders' equity 1,966.2.</t>
        </is>
      </c>
    </row>
    <row r="109">
      <c r="B109" s="3" t="inlineStr">
        <is>
          <t>Total liabilities</t>
        </is>
      </c>
      <c r="C109" s="26">
        <f>C107+C108</f>
        <v/>
      </c>
      <c r="D109" s="26">
        <f>D107+D108</f>
        <v/>
      </c>
      <c r="E109" s="26">
        <f>E107+E108</f>
        <v/>
      </c>
      <c r="F109" s="26">
        <f>F107+F108</f>
        <v/>
      </c>
      <c r="G109" s="26">
        <f>G107+G108</f>
        <v/>
      </c>
      <c r="H109" s="26">
        <f>H107+H108</f>
        <v/>
      </c>
      <c r="I109" s="26">
        <f>I107+I108</f>
        <v/>
      </c>
      <c r="J109" s="26">
        <f>J107+J108</f>
        <v/>
      </c>
      <c r="K109" s="26">
        <f>K107+K108</f>
        <v/>
      </c>
      <c r="L109" s="26">
        <f>L107+L108</f>
        <v/>
      </c>
      <c r="M109" s="26">
        <f>M107+M108</f>
        <v/>
      </c>
      <c r="N109" s="10" t="inlineStr">
        <is>
          <t>$M</t>
        </is>
      </c>
      <c r="O109" s="10" t="inlineStr"/>
    </row>
    <row r="110">
      <c r="B110" s="3" t="inlineStr">
        <is>
          <t>SHAREHOLDERS' EQUITY</t>
        </is>
      </c>
      <c r="C110" s="26">
        <f>C106-C109</f>
        <v/>
      </c>
      <c r="D110" s="26">
        <f>D106-D109</f>
        <v/>
      </c>
      <c r="E110" s="26">
        <f>E106-E109</f>
        <v/>
      </c>
      <c r="F110" s="26">
        <f>F106-F109</f>
        <v/>
      </c>
      <c r="G110" s="26">
        <f>G106-G109</f>
        <v/>
      </c>
      <c r="H110" s="26">
        <f>H106-H109</f>
        <v/>
      </c>
      <c r="I110" s="26">
        <f>I106-I109</f>
        <v/>
      </c>
      <c r="J110" s="26">
        <f>J106-J109</f>
        <v/>
      </c>
      <c r="K110" s="26">
        <f>K106-K109</f>
        <v/>
      </c>
      <c r="L110" s="26">
        <f>L106-L109</f>
        <v/>
      </c>
      <c r="M110" s="26">
        <f>M106-M109</f>
        <v/>
      </c>
      <c r="N110" s="10" t="inlineStr">
        <is>
          <t>$M</t>
        </is>
      </c>
      <c r="O110" s="10" t="inlineStr">
        <is>
          <t>FY2026A total = 1,966.2 reported shareholders' equity.</t>
        </is>
      </c>
    </row>
    <row r="111">
      <c r="B111" s="7" t="inlineStr">
        <is>
          <t>Equity roll-forward check: Equity(t) - [Equity(t-1) + Net income(t) - Distributions(t)]  (= 0)</t>
        </is>
      </c>
      <c r="D111" s="21">
        <f>D110-(C110+D87-D91)</f>
        <v/>
      </c>
      <c r="E111" s="21">
        <f>E110-(D110+E87-E91)</f>
        <v/>
      </c>
      <c r="F111" s="21">
        <f>F110-(E110+F87-F91)</f>
        <v/>
      </c>
      <c r="G111" s="21">
        <f>G110-(F110+G87-G91)</f>
        <v/>
      </c>
      <c r="H111" s="21">
        <f>H110-(G110+H87-H91)</f>
        <v/>
      </c>
      <c r="I111" s="21">
        <f>I110-(H110+I87-I91)</f>
        <v/>
      </c>
      <c r="J111" s="21">
        <f>J110-(I110+J87-J91)</f>
        <v/>
      </c>
      <c r="K111" s="21">
        <f>K110-(J110+K87-K91)</f>
        <v/>
      </c>
      <c r="L111" s="21">
        <f>L110-(K110+L87-L91)</f>
        <v/>
      </c>
      <c r="M111" s="21">
        <f>M110-(L110+M87-M91)</f>
        <v/>
      </c>
      <c r="N111" s="10" t="inlineStr">
        <is>
          <t>$M</t>
        </is>
      </c>
      <c r="O111" s="10" t="inlineStr"/>
    </row>
    <row r="112">
      <c r="B112" s="7" t="inlineStr">
        <is>
          <t>Balance check: Total assets - Total liabilities - Equity  (= 0)</t>
        </is>
      </c>
      <c r="C112" s="21">
        <f>C106-C109-C110</f>
        <v/>
      </c>
      <c r="D112" s="21">
        <f>D106-D109-D110</f>
        <v/>
      </c>
      <c r="E112" s="21">
        <f>E106-E109-E110</f>
        <v/>
      </c>
      <c r="F112" s="21">
        <f>F106-F109-F110</f>
        <v/>
      </c>
      <c r="G112" s="21">
        <f>G106-G109-G110</f>
        <v/>
      </c>
      <c r="H112" s="21">
        <f>H106-H109-H110</f>
        <v/>
      </c>
      <c r="I112" s="21">
        <f>I106-I109-I110</f>
        <v/>
      </c>
      <c r="J112" s="21">
        <f>J106-J109-J110</f>
        <v/>
      </c>
      <c r="K112" s="21">
        <f>K106-K109-K110</f>
        <v/>
      </c>
      <c r="L112" s="21">
        <f>L106-L109-L110</f>
        <v/>
      </c>
      <c r="M112" s="21">
        <f>M106-M109-M110</f>
        <v/>
      </c>
      <c r="N112" s="10" t="inlineStr">
        <is>
          <t>$M</t>
        </is>
      </c>
      <c r="O112" s="10" t="inlineStr"/>
    </row>
  </sheetData>
  <pageMargins left="0.75" right="0.75" top="1" bottom="1" header="0.5" footer="0.5"/>
  <pageSetup orientation="landscape" paperSize="1" fitToHeight="0" fitToWidth="1"/>
  <headerFooter>
    <oddHeader/>
    <oddFooter>&amp;C&amp;A - Page &amp;P of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O112"/>
  <sheetViews>
    <sheetView zoomScale="90" workbookViewId="0">
      <pane xSplit="2" ySplit="3" topLeftCell="C4" activePane="bottomRight" state="frozen"/>
      <selection pane="topRight"/>
      <selection pane="bottomLeft"/>
      <selection pane="bottomRight" activeCell="A1" sqref="A1"/>
    </sheetView>
  </sheetViews>
  <sheetFormatPr baseColWidth="8" defaultRowHeight="15"/>
  <cols>
    <col width="13" customWidth="1" min="1" max="1"/>
    <col width="66" customWidth="1" min="2" max="2"/>
    <col width="17" customWidth="1" min="3" max="3"/>
    <col width="11.5" customWidth="1" min="4" max="4"/>
    <col width="11.5" customWidth="1" min="5" max="5"/>
    <col width="11.5" customWidth="1" min="6" max="6"/>
    <col width="11.5" customWidth="1" min="7" max="7"/>
    <col width="11.5" customWidth="1" min="8" max="8"/>
    <col width="11.5" customWidth="1" min="9" max="9"/>
    <col width="11.5" customWidth="1" min="10" max="10"/>
    <col width="11.5" customWidth="1" min="11" max="11"/>
    <col width="11.5" customWidth="1" min="12" max="12"/>
    <col width="11.5" customWidth="1" min="13" max="13"/>
    <col width="17" customWidth="1" min="14" max="14"/>
    <col width="60" customWidth="1" min="15" max="15"/>
  </cols>
  <sheetData>
    <row r="1">
      <c r="A1" s="1" t="inlineStr">
        <is>
          <t>Signet Jewelers - Baseline Value-Based ERM Model - Segment: International</t>
        </is>
      </c>
    </row>
    <row r="2">
      <c r="A2" s="10" t="inlineStr">
        <is>
          <t>International reportable segment: H.Samuel and Ernest Jones stores and e-commerce in the UK and the Republic of Ireland.  Units: $ millions (one decimal) unless stated; fiscal years end about January 31 (FY2026 = year ended Jan 31, 2026). Blue = hard-coded input, black = formula, green = link to another tab.</t>
        </is>
      </c>
    </row>
    <row r="3">
      <c r="A3" s="11" t="inlineStr">
        <is>
          <t>Section</t>
        </is>
      </c>
      <c r="B3" s="11" t="inlineStr">
        <is>
          <t>Line item</t>
        </is>
      </c>
      <c r="C3" s="15" t="inlineStr">
        <is>
          <t>Last Yr (FY2026A)</t>
        </is>
      </c>
      <c r="D3" s="15" t="inlineStr">
        <is>
          <t>FY2027</t>
        </is>
      </c>
      <c r="E3" s="15" t="inlineStr">
        <is>
          <t>FY2028</t>
        </is>
      </c>
      <c r="F3" s="15" t="inlineStr">
        <is>
          <t>FY2029</t>
        </is>
      </c>
      <c r="G3" s="15" t="inlineStr">
        <is>
          <t>FY2030</t>
        </is>
      </c>
      <c r="H3" s="15" t="inlineStr">
        <is>
          <t>FY2031</t>
        </is>
      </c>
      <c r="I3" s="15" t="inlineStr">
        <is>
          <t>FY2032</t>
        </is>
      </c>
      <c r="J3" s="15" t="inlineStr">
        <is>
          <t>FY2033</t>
        </is>
      </c>
      <c r="K3" s="15" t="inlineStr">
        <is>
          <t>FY2034</t>
        </is>
      </c>
      <c r="L3" s="15" t="inlineStr">
        <is>
          <t>FY2035</t>
        </is>
      </c>
      <c r="M3" s="15" t="inlineStr">
        <is>
          <t>FY2036</t>
        </is>
      </c>
      <c r="N3" s="11" t="inlineStr">
        <is>
          <t>Units</t>
        </is>
      </c>
      <c r="O3" s="11" t="inlineStr">
        <is>
          <t>Notes</t>
        </is>
      </c>
    </row>
    <row r="4"/>
    <row r="5">
      <c r="A5" s="12" t="inlineStr">
        <is>
          <t>BASELINE ASSUMPTIONS (blue = hard-coded input; black '=previous cell' carries an assumption forward)</t>
        </is>
      </c>
      <c r="B5" s="13" t="n"/>
      <c r="C5" s="13" t="n"/>
      <c r="D5" s="13" t="n"/>
      <c r="E5" s="13" t="n"/>
      <c r="F5" s="13" t="n"/>
      <c r="G5" s="13" t="n"/>
      <c r="H5" s="13" t="n"/>
      <c r="I5" s="13" t="n"/>
      <c r="J5" s="13" t="n"/>
      <c r="K5" s="13" t="n"/>
      <c r="L5" s="13" t="n"/>
      <c r="M5" s="13" t="n"/>
      <c r="N5" s="13" t="n"/>
      <c r="O5" s="13" t="n"/>
    </row>
    <row r="6">
      <c r="A6" s="10" t="inlineStr">
        <is>
          <t>Baseline</t>
        </is>
      </c>
      <c r="B6" s="7" t="inlineStr">
        <is>
          <t>Gross store openings (number of stores)</t>
        </is>
      </c>
      <c r="C6" s="16">
        <f>C59</f>
        <v/>
      </c>
      <c r="D6" s="17" t="n">
        <v>2</v>
      </c>
      <c r="E6" s="16">
        <f>D6</f>
        <v/>
      </c>
      <c r="F6" s="16">
        <f>E6</f>
        <v/>
      </c>
      <c r="G6" s="16">
        <f>F6</f>
        <v/>
      </c>
      <c r="H6" s="16">
        <f>G6</f>
        <v/>
      </c>
      <c r="I6" s="16">
        <f>H6</f>
        <v/>
      </c>
      <c r="J6" s="16">
        <f>I6</f>
        <v/>
      </c>
      <c r="K6" s="16">
        <f>J6</f>
        <v/>
      </c>
      <c r="L6" s="16">
        <f>K6</f>
        <v/>
      </c>
      <c r="M6" s="16">
        <f>L6</f>
        <v/>
      </c>
      <c r="N6" s="10" t="inlineStr">
        <is>
          <t># stores</t>
        </is>
      </c>
      <c r="O6" s="10" t="inlineStr">
        <is>
          <t>Gross openings; net of closures drives average stores.</t>
        </is>
      </c>
    </row>
    <row r="7">
      <c r="A7" s="10" t="inlineStr">
        <is>
          <t>Baseline</t>
        </is>
      </c>
      <c r="B7" s="7" t="inlineStr">
        <is>
          <t>Store closures (number of stores)</t>
        </is>
      </c>
      <c r="C7" s="16">
        <f>C60</f>
        <v/>
      </c>
      <c r="D7" s="17" t="n">
        <v>4</v>
      </c>
      <c r="E7" s="17" t="n">
        <v>5</v>
      </c>
      <c r="F7" s="16">
        <f>E7</f>
        <v/>
      </c>
      <c r="G7" s="16">
        <f>F7</f>
        <v/>
      </c>
      <c r="H7" s="16">
        <f>G7</f>
        <v/>
      </c>
      <c r="I7" s="17" t="n">
        <v>4</v>
      </c>
      <c r="J7" s="16">
        <f>I7</f>
        <v/>
      </c>
      <c r="K7" s="16">
        <f>J7</f>
        <v/>
      </c>
      <c r="L7" s="16">
        <f>K7</f>
        <v/>
      </c>
      <c r="M7" s="16">
        <f>L7</f>
        <v/>
      </c>
      <c r="N7" s="10" t="inlineStr">
        <is>
          <t># stores</t>
        </is>
      </c>
      <c r="O7" s="10" t="inlineStr">
        <is>
          <t>Fleet optimisation: mall closures / off-mall repositioning (net sq ft 'low-single-digit decline' guidance).</t>
        </is>
      </c>
    </row>
    <row r="8">
      <c r="A8" s="10" t="inlineStr">
        <is>
          <t>Baseline</t>
        </is>
      </c>
      <c r="B8" s="7" t="inlineStr">
        <is>
          <t>Same-store sales growth (applied to merchandise sales per average store)</t>
        </is>
      </c>
      <c r="C8" s="18" t="n">
        <v>0.026</v>
      </c>
      <c r="D8" s="18" t="n">
        <v>0.02</v>
      </c>
      <c r="E8" s="19">
        <f>D8</f>
        <v/>
      </c>
      <c r="F8" s="19">
        <f>E8</f>
        <v/>
      </c>
      <c r="G8" s="19">
        <f>F8</f>
        <v/>
      </c>
      <c r="H8" s="19">
        <f>G8</f>
        <v/>
      </c>
      <c r="I8" s="19">
        <f>H8</f>
        <v/>
      </c>
      <c r="J8" s="19">
        <f>I8</f>
        <v/>
      </c>
      <c r="K8" s="19">
        <f>J8</f>
        <v/>
      </c>
      <c r="L8" s="19">
        <f>K8</f>
        <v/>
      </c>
      <c r="M8" s="19">
        <f>L8</f>
        <v/>
      </c>
      <c r="N8" s="10" t="inlineStr">
        <is>
          <t>% p.a.</t>
        </is>
      </c>
      <c r="O8" s="10" t="inlineStr">
        <is>
          <t>Price/mix + traffic growth applied to sales per average store.</t>
        </is>
      </c>
    </row>
    <row r="9">
      <c r="A9" s="10" t="inlineStr">
        <is>
          <t>Baseline</t>
        </is>
      </c>
      <c r="B9" s="7" t="inlineStr">
        <is>
          <t>E-commerce merchandise sales growth</t>
        </is>
      </c>
      <c r="D9" s="18" t="n">
        <v>0.03</v>
      </c>
      <c r="E9" s="19">
        <f>D9</f>
        <v/>
      </c>
      <c r="F9" s="19">
        <f>E9</f>
        <v/>
      </c>
      <c r="G9" s="19">
        <f>F9</f>
        <v/>
      </c>
      <c r="H9" s="19">
        <f>G9</f>
        <v/>
      </c>
      <c r="I9" s="19">
        <f>H9</f>
        <v/>
      </c>
      <c r="J9" s="19">
        <f>I9</f>
        <v/>
      </c>
      <c r="K9" s="19">
        <f>J9</f>
        <v/>
      </c>
      <c r="L9" s="19">
        <f>K9</f>
        <v/>
      </c>
      <c r="M9" s="19">
        <f>L9</f>
        <v/>
      </c>
      <c r="N9" s="10" t="inlineStr">
        <is>
          <t>% p.a.</t>
        </is>
      </c>
      <c r="O9" s="10" t="inlineStr">
        <is>
          <t>Includes digital-native brands (NA) and store-brand online sales.</t>
        </is>
      </c>
    </row>
    <row r="10">
      <c r="A10" s="10" t="inlineStr">
        <is>
          <t>Baseline</t>
        </is>
      </c>
      <c r="B10" s="7" t="inlineStr">
        <is>
          <t>Services attach rate (services revenue as % of merchandise sales)</t>
        </is>
      </c>
      <c r="C10" s="19">
        <f>IF(C66+C67=0,0,C68/(C66+C67))</f>
        <v/>
      </c>
      <c r="D10" s="18" t="n">
        <v>0.111</v>
      </c>
      <c r="E10" s="19">
        <f>D10</f>
        <v/>
      </c>
      <c r="F10" s="19">
        <f>E10</f>
        <v/>
      </c>
      <c r="G10" s="19">
        <f>F10</f>
        <v/>
      </c>
      <c r="H10" s="19">
        <f>G10</f>
        <v/>
      </c>
      <c r="I10" s="19">
        <f>H10</f>
        <v/>
      </c>
      <c r="J10" s="19">
        <f>I10</f>
        <v/>
      </c>
      <c r="K10" s="19">
        <f>J10</f>
        <v/>
      </c>
      <c r="L10" s="19">
        <f>K10</f>
        <v/>
      </c>
      <c r="M10" s="19">
        <f>L10</f>
        <v/>
      </c>
      <c r="N10" s="10" t="inlineStr">
        <is>
          <t>% of merch.</t>
        </is>
      </c>
      <c r="O10" s="10" t="inlineStr">
        <is>
          <t>Extended service plans, repairs, custom design.</t>
        </is>
      </c>
    </row>
    <row r="11">
      <c r="A11" s="10" t="inlineStr">
        <is>
          <t>Baseline</t>
        </is>
      </c>
      <c r="B11" s="7" t="inlineStr">
        <is>
          <t>Other (non-retail / diamond sourcing) revenue growth</t>
        </is>
      </c>
      <c r="D11" s="18" t="n">
        <v>0</v>
      </c>
      <c r="E11" s="19">
        <f>D11</f>
        <v/>
      </c>
      <c r="F11" s="19">
        <f>E11</f>
        <v/>
      </c>
      <c r="G11" s="19">
        <f>F11</f>
        <v/>
      </c>
      <c r="H11" s="19">
        <f>G11</f>
        <v/>
      </c>
      <c r="I11" s="19">
        <f>H11</f>
        <v/>
      </c>
      <c r="J11" s="19">
        <f>I11</f>
        <v/>
      </c>
      <c r="K11" s="19">
        <f>J11</f>
        <v/>
      </c>
      <c r="L11" s="19">
        <f>K11</f>
        <v/>
      </c>
      <c r="M11" s="19">
        <f>L11</f>
        <v/>
      </c>
      <c r="N11" s="10" t="inlineStr">
        <is>
          <t>% p.a.</t>
        </is>
      </c>
      <c r="O11" s="10" t="inlineStr">
        <is>
          <t>Only the diamond-sourcing sales in OTHER are non-zero.</t>
        </is>
      </c>
    </row>
    <row r="12">
      <c r="A12" s="10" t="inlineStr">
        <is>
          <t>Baseline</t>
        </is>
      </c>
      <c r="B12" s="7" t="inlineStr">
        <is>
          <t>Cost of sales (incl. store occupancy) as % of total sales</t>
        </is>
      </c>
      <c r="C12" s="19">
        <f>IF(C70=0,0,C72/C70)</f>
        <v/>
      </c>
      <c r="D12" s="18" t="n">
        <v>0.68</v>
      </c>
      <c r="E12" s="19">
        <f>D12</f>
        <v/>
      </c>
      <c r="F12" s="19">
        <f>E12</f>
        <v/>
      </c>
      <c r="G12" s="19">
        <f>F12</f>
        <v/>
      </c>
      <c r="H12" s="19">
        <f>G12</f>
        <v/>
      </c>
      <c r="I12" s="19">
        <f>H12</f>
        <v/>
      </c>
      <c r="J12" s="19">
        <f>I12</f>
        <v/>
      </c>
      <c r="K12" s="19">
        <f>J12</f>
        <v/>
      </c>
      <c r="L12" s="19">
        <f>K12</f>
        <v/>
      </c>
      <c r="M12" s="19">
        <f>L12</f>
        <v/>
      </c>
      <c r="N12" s="10" t="inlineStr">
        <is>
          <t>% of sales</t>
        </is>
      </c>
      <c r="O12" s="10" t="inlineStr">
        <is>
          <t>Signet books store occupancy in cost of sales; 1 - this = gross margin %.</t>
        </is>
      </c>
    </row>
    <row r="13">
      <c r="A13" s="10" t="inlineStr">
        <is>
          <t>Baseline</t>
        </is>
      </c>
      <c r="B13" s="7" t="inlineStr">
        <is>
          <t>Variable SG&amp;A (store payroll, advertising, credit) as % of total sales</t>
        </is>
      </c>
      <c r="C13" s="19">
        <f>IF(C70=0,0,C75/C70)</f>
        <v/>
      </c>
      <c r="D13" s="18" t="n">
        <v>0.15</v>
      </c>
      <c r="E13" s="19">
        <f>D13</f>
        <v/>
      </c>
      <c r="F13" s="19">
        <f>E13</f>
        <v/>
      </c>
      <c r="G13" s="19">
        <f>F13</f>
        <v/>
      </c>
      <c r="H13" s="19">
        <f>G13</f>
        <v/>
      </c>
      <c r="I13" s="19">
        <f>H13</f>
        <v/>
      </c>
      <c r="J13" s="19">
        <f>I13</f>
        <v/>
      </c>
      <c r="K13" s="19">
        <f>J13</f>
        <v/>
      </c>
      <c r="L13" s="19">
        <f>K13</f>
        <v/>
      </c>
      <c r="M13" s="19">
        <f>L13</f>
        <v/>
      </c>
      <c r="N13" s="10" t="inlineStr">
        <is>
          <t>% of sales</t>
        </is>
      </c>
      <c r="O13" s="10" t="inlineStr">
        <is>
          <t>Marginal expenses that move with sales.</t>
        </is>
      </c>
    </row>
    <row r="14">
      <c r="A14" s="10" t="inlineStr">
        <is>
          <t>Baseline</t>
        </is>
      </c>
      <c r="B14" s="7" t="inlineStr">
        <is>
          <t>Fixed SG&amp;A inflation (corporate, support, fixed store overhead)</t>
        </is>
      </c>
      <c r="D14" s="18" t="n">
        <v>0.03</v>
      </c>
      <c r="E14" s="18" t="n">
        <v>0.025</v>
      </c>
      <c r="F14" s="18" t="n">
        <v>0.02</v>
      </c>
      <c r="G14" s="19">
        <f>F14</f>
        <v/>
      </c>
      <c r="H14" s="19">
        <f>G14</f>
        <v/>
      </c>
      <c r="I14" s="19">
        <f>H14</f>
        <v/>
      </c>
      <c r="J14" s="19">
        <f>I14</f>
        <v/>
      </c>
      <c r="K14" s="19">
        <f>J14</f>
        <v/>
      </c>
      <c r="L14" s="19">
        <f>K14</f>
        <v/>
      </c>
      <c r="M14" s="19">
        <f>L14</f>
        <v/>
      </c>
      <c r="N14" s="10" t="inlineStr">
        <is>
          <t>% p.a.</t>
        </is>
      </c>
      <c r="O14" s="10" t="inlineStr">
        <is>
          <t>Fixed expenses grow with inflation (Session 6 guidance).</t>
        </is>
      </c>
    </row>
    <row r="15">
      <c r="A15" s="10" t="inlineStr">
        <is>
          <t>Baseline</t>
        </is>
      </c>
      <c r="B15" s="7" t="inlineStr">
        <is>
          <t>Cost-savings initiatives (incremental run-rate cut to fixed SG&amp;A)</t>
        </is>
      </c>
      <c r="D15" s="20" t="n">
        <v>0</v>
      </c>
      <c r="E15" s="21">
        <f>D15</f>
        <v/>
      </c>
      <c r="F15" s="21">
        <f>E15</f>
        <v/>
      </c>
      <c r="G15" s="21">
        <f>F15</f>
        <v/>
      </c>
      <c r="H15" s="21">
        <f>G15</f>
        <v/>
      </c>
      <c r="I15" s="21">
        <f>H15</f>
        <v/>
      </c>
      <c r="J15" s="21">
        <f>I15</f>
        <v/>
      </c>
      <c r="K15" s="21">
        <f>J15</f>
        <v/>
      </c>
      <c r="L15" s="21">
        <f>K15</f>
        <v/>
      </c>
      <c r="M15" s="21">
        <f>L15</f>
        <v/>
      </c>
      <c r="N15" s="10" t="inlineStr">
        <is>
          <t>$M</t>
        </is>
      </c>
      <c r="O15" s="10" t="inlineStr">
        <is>
          <t>Zero: no quantified cost-savings programme disclosed. Row kept for shocks.</t>
        </is>
      </c>
    </row>
    <row r="16">
      <c r="A16" s="10" t="inlineStr">
        <is>
          <t>Baseline</t>
        </is>
      </c>
      <c r="B16" s="7" t="inlineStr">
        <is>
          <t>Other operating income / (expense), one-time items (+ = income)</t>
        </is>
      </c>
      <c r="C16" s="21">
        <f>C79</f>
        <v/>
      </c>
      <c r="D16" s="20" t="n">
        <v>0</v>
      </c>
      <c r="E16" s="21">
        <f>D16</f>
        <v/>
      </c>
      <c r="F16" s="21">
        <f>E16</f>
        <v/>
      </c>
      <c r="G16" s="21">
        <f>F16</f>
        <v/>
      </c>
      <c r="H16" s="21">
        <f>G16</f>
        <v/>
      </c>
      <c r="I16" s="21">
        <f>H16</f>
        <v/>
      </c>
      <c r="J16" s="21">
        <f>I16</f>
        <v/>
      </c>
      <c r="K16" s="21">
        <f>J16</f>
        <v/>
      </c>
      <c r="L16" s="21">
        <f>K16</f>
        <v/>
      </c>
      <c r="M16" s="21">
        <f>L16</f>
        <v/>
      </c>
      <c r="N16" s="10" t="inlineStr">
        <is>
          <t>$M</t>
        </is>
      </c>
      <c r="O16" s="10" t="inlineStr">
        <is>
          <t>FY2027 NA: +30 tariff refunds expected by management; impairments/restructuring assumed nil going forward.</t>
        </is>
      </c>
    </row>
    <row r="17">
      <c r="A17" s="10" t="inlineStr">
        <is>
          <t>Baseline</t>
        </is>
      </c>
      <c r="B17" s="7" t="inlineStr">
        <is>
          <t>Net yield on invested assets (cash &amp; equivalents)</t>
        </is>
      </c>
      <c r="D17" s="18" t="n">
        <v>0.007</v>
      </c>
      <c r="E17" s="19">
        <f>D17</f>
        <v/>
      </c>
      <c r="F17" s="19">
        <f>E17</f>
        <v/>
      </c>
      <c r="G17" s="19">
        <f>F17</f>
        <v/>
      </c>
      <c r="H17" s="19">
        <f>G17</f>
        <v/>
      </c>
      <c r="I17" s="19">
        <f>H17</f>
        <v/>
      </c>
      <c r="J17" s="19">
        <f>I17</f>
        <v/>
      </c>
      <c r="K17" s="19">
        <f>J17</f>
        <v/>
      </c>
      <c r="L17" s="19">
        <f>K17</f>
        <v/>
      </c>
      <c r="M17" s="19">
        <f>L17</f>
        <v/>
      </c>
      <c r="N17" s="10" t="inlineStr">
        <is>
          <t>% of prior-yr cash</t>
        </is>
      </c>
      <c r="O17" s="10" t="inlineStr">
        <is>
          <t>Calibrated: reported net interest income was only 4.0 (FY26) and 9.8 (FY25) on 600-900 of cash.</t>
        </is>
      </c>
    </row>
    <row r="18">
      <c r="A18" s="10" t="inlineStr">
        <is>
          <t>Baseline</t>
        </is>
      </c>
      <c r="B18" s="7" t="inlineStr">
        <is>
          <t>Interest rate on debt (ABL revolver; debt is zero in baseline)</t>
        </is>
      </c>
      <c r="D18" s="18" t="n">
        <v>0.065</v>
      </c>
      <c r="E18" s="19">
        <f>D18</f>
        <v/>
      </c>
      <c r="F18" s="19">
        <f>E18</f>
        <v/>
      </c>
      <c r="G18" s="19">
        <f>F18</f>
        <v/>
      </c>
      <c r="H18" s="19">
        <f>G18</f>
        <v/>
      </c>
      <c r="I18" s="19">
        <f>H18</f>
        <v/>
      </c>
      <c r="J18" s="19">
        <f>I18</f>
        <v/>
      </c>
      <c r="K18" s="19">
        <f>J18</f>
        <v/>
      </c>
      <c r="L18" s="19">
        <f>K18</f>
        <v/>
      </c>
      <c r="M18" s="19">
        <f>L18</f>
        <v/>
      </c>
      <c r="N18" s="10" t="inlineStr">
        <is>
          <t>% of prior-yr debt</t>
        </is>
      </c>
      <c r="O18" s="10" t="inlineStr">
        <is>
          <t>No funded debt at FY2026A; rate kept for interest-rate / liquidity shocks.</t>
        </is>
      </c>
    </row>
    <row r="19">
      <c r="A19" s="10" t="inlineStr">
        <is>
          <t>Baseline</t>
        </is>
      </c>
      <c r="B19" s="7" t="inlineStr">
        <is>
          <t>Effective income tax rate</t>
        </is>
      </c>
      <c r="C19" s="19">
        <f>IF(C84=0,0,C86/C84)</f>
        <v/>
      </c>
      <c r="D19" s="18" t="n">
        <v>0.25</v>
      </c>
      <c r="E19" s="19">
        <f>D19</f>
        <v/>
      </c>
      <c r="F19" s="19">
        <f>E19</f>
        <v/>
      </c>
      <c r="G19" s="19">
        <f>F19</f>
        <v/>
      </c>
      <c r="H19" s="19">
        <f>G19</f>
        <v/>
      </c>
      <c r="I19" s="19">
        <f>H19</f>
        <v/>
      </c>
      <c r="J19" s="19">
        <f>I19</f>
        <v/>
      </c>
      <c r="K19" s="19">
        <f>J19</f>
        <v/>
      </c>
      <c r="L19" s="19">
        <f>K19</f>
        <v/>
      </c>
      <c r="M19" s="19">
        <f>L19</f>
        <v/>
      </c>
      <c r="N19" s="10" t="inlineStr">
        <is>
          <t>% of pre-tax</t>
        </is>
      </c>
      <c r="O19" s="10" t="inlineStr">
        <is>
          <t>FY2027 guidance 23-25% (NA/OTHER 24%); UK statutory 25% for INTL.</t>
        </is>
      </c>
    </row>
    <row r="20">
      <c r="A20" s="10" t="inlineStr">
        <is>
          <t>Baseline</t>
        </is>
      </c>
      <c r="B20" s="7" t="inlineStr">
        <is>
          <t>Discount rate (cost of equity, CAPM) - single rate for the segment</t>
        </is>
      </c>
      <c r="D20" s="18" t="n">
        <v>0.12</v>
      </c>
      <c r="N20" s="10" t="inlineStr">
        <is>
          <t>% p.a.</t>
        </is>
      </c>
      <c r="O20" s="10" t="inlineStr">
        <is>
          <t>CAPM: 5.24% + 1.25 x 4.20% = 10.5%; INTL +1.5pp premium. Single rate in the FY2027 column (as in Pear).</t>
        </is>
      </c>
    </row>
    <row r="22">
      <c r="A22" s="12" t="inlineStr">
        <is>
          <t>SHOCK TO ASSUMPTIONS - additive shocks, all ZERO in the baseline (for use in Assignment 3(d))</t>
        </is>
      </c>
      <c r="B22" s="13" t="n"/>
      <c r="C22" s="13" t="n"/>
      <c r="D22" s="13" t="n"/>
      <c r="E22" s="13" t="n"/>
      <c r="F22" s="13" t="n"/>
      <c r="G22" s="13" t="n"/>
      <c r="H22" s="13" t="n"/>
      <c r="I22" s="13" t="n"/>
      <c r="J22" s="13" t="n"/>
      <c r="K22" s="13" t="n"/>
      <c r="L22" s="13" t="n"/>
      <c r="M22" s="13" t="n"/>
      <c r="N22" s="13" t="n"/>
      <c r="O22" s="13" t="n"/>
    </row>
    <row r="23">
      <c r="A23" s="10" t="inlineStr">
        <is>
          <t>Shock</t>
        </is>
      </c>
      <c r="B23" s="7" t="inlineStr">
        <is>
          <t>Shock: Gross store openings (number of stores)</t>
        </is>
      </c>
      <c r="D23" s="17" t="n">
        <v>0</v>
      </c>
      <c r="E23" s="17" t="n">
        <v>0</v>
      </c>
      <c r="F23" s="17" t="n">
        <v>0</v>
      </c>
      <c r="G23" s="17" t="n">
        <v>0</v>
      </c>
      <c r="H23" s="17" t="n">
        <v>0</v>
      </c>
      <c r="I23" s="17" t="n">
        <v>0</v>
      </c>
      <c r="J23" s="17" t="n">
        <v>0</v>
      </c>
      <c r="K23" s="17" t="n">
        <v>0</v>
      </c>
      <c r="L23" s="17" t="n">
        <v>0</v>
      </c>
      <c r="M23" s="17" t="n">
        <v>0</v>
      </c>
      <c r="N23" s="10" t="inlineStr">
        <is>
          <t># stores</t>
        </is>
      </c>
    </row>
    <row r="24">
      <c r="A24" s="10" t="inlineStr">
        <is>
          <t>Shock</t>
        </is>
      </c>
      <c r="B24" s="7" t="inlineStr">
        <is>
          <t>Shock: Store closures (number of stores)</t>
        </is>
      </c>
      <c r="D24" s="17" t="n">
        <v>0</v>
      </c>
      <c r="E24" s="17" t="n">
        <v>0</v>
      </c>
      <c r="F24" s="17" t="n">
        <v>0</v>
      </c>
      <c r="G24" s="17" t="n">
        <v>0</v>
      </c>
      <c r="H24" s="17" t="n">
        <v>0</v>
      </c>
      <c r="I24" s="17" t="n">
        <v>0</v>
      </c>
      <c r="J24" s="17" t="n">
        <v>0</v>
      </c>
      <c r="K24" s="17" t="n">
        <v>0</v>
      </c>
      <c r="L24" s="17" t="n">
        <v>0</v>
      </c>
      <c r="M24" s="17" t="n">
        <v>0</v>
      </c>
      <c r="N24" s="10" t="inlineStr">
        <is>
          <t># stores</t>
        </is>
      </c>
    </row>
    <row r="25">
      <c r="A25" s="10" t="inlineStr">
        <is>
          <t>Shock</t>
        </is>
      </c>
      <c r="B25" s="7" t="inlineStr">
        <is>
          <t>Shock: Same-store sales growth (applied to merchandise sales per average store)</t>
        </is>
      </c>
      <c r="D25" s="18" t="n">
        <v>0</v>
      </c>
      <c r="E25" s="18" t="n">
        <v>0</v>
      </c>
      <c r="F25" s="18" t="n">
        <v>0</v>
      </c>
      <c r="G25" s="18" t="n">
        <v>0</v>
      </c>
      <c r="H25" s="18" t="n">
        <v>0</v>
      </c>
      <c r="I25" s="18" t="n">
        <v>0</v>
      </c>
      <c r="J25" s="18" t="n">
        <v>0</v>
      </c>
      <c r="K25" s="18" t="n">
        <v>0</v>
      </c>
      <c r="L25" s="18" t="n">
        <v>0</v>
      </c>
      <c r="M25" s="18" t="n">
        <v>0</v>
      </c>
      <c r="N25" s="10" t="inlineStr">
        <is>
          <t>% p.a.</t>
        </is>
      </c>
    </row>
    <row r="26">
      <c r="A26" s="10" t="inlineStr">
        <is>
          <t>Shock</t>
        </is>
      </c>
      <c r="B26" s="7" t="inlineStr">
        <is>
          <t>Shock: E-commerce merchandise sales growth</t>
        </is>
      </c>
      <c r="D26" s="18" t="n">
        <v>0</v>
      </c>
      <c r="E26" s="18" t="n">
        <v>0</v>
      </c>
      <c r="F26" s="18" t="n">
        <v>0</v>
      </c>
      <c r="G26" s="18" t="n">
        <v>0</v>
      </c>
      <c r="H26" s="18" t="n">
        <v>0</v>
      </c>
      <c r="I26" s="18" t="n">
        <v>0</v>
      </c>
      <c r="J26" s="18" t="n">
        <v>0</v>
      </c>
      <c r="K26" s="18" t="n">
        <v>0</v>
      </c>
      <c r="L26" s="18" t="n">
        <v>0</v>
      </c>
      <c r="M26" s="18" t="n">
        <v>0</v>
      </c>
      <c r="N26" s="10" t="inlineStr">
        <is>
          <t>% p.a.</t>
        </is>
      </c>
    </row>
    <row r="27">
      <c r="A27" s="10" t="inlineStr">
        <is>
          <t>Shock</t>
        </is>
      </c>
      <c r="B27" s="7" t="inlineStr">
        <is>
          <t>Shock: Services attach rate (services revenue as % of merchandise sales)</t>
        </is>
      </c>
      <c r="D27" s="18" t="n">
        <v>0</v>
      </c>
      <c r="E27" s="18" t="n">
        <v>0</v>
      </c>
      <c r="F27" s="18" t="n">
        <v>0</v>
      </c>
      <c r="G27" s="18" t="n">
        <v>0</v>
      </c>
      <c r="H27" s="18" t="n">
        <v>0</v>
      </c>
      <c r="I27" s="18" t="n">
        <v>0</v>
      </c>
      <c r="J27" s="18" t="n">
        <v>0</v>
      </c>
      <c r="K27" s="18" t="n">
        <v>0</v>
      </c>
      <c r="L27" s="18" t="n">
        <v>0</v>
      </c>
      <c r="M27" s="18" t="n">
        <v>0</v>
      </c>
      <c r="N27" s="10" t="inlineStr">
        <is>
          <t>% of merch.</t>
        </is>
      </c>
    </row>
    <row r="28">
      <c r="A28" s="10" t="inlineStr">
        <is>
          <t>Shock</t>
        </is>
      </c>
      <c r="B28" s="7" t="inlineStr">
        <is>
          <t>Shock: Other (non-retail / diamond sourcing) revenue growth</t>
        </is>
      </c>
      <c r="D28" s="18" t="n">
        <v>0</v>
      </c>
      <c r="E28" s="18" t="n">
        <v>0</v>
      </c>
      <c r="F28" s="18" t="n">
        <v>0</v>
      </c>
      <c r="G28" s="18" t="n">
        <v>0</v>
      </c>
      <c r="H28" s="18" t="n">
        <v>0</v>
      </c>
      <c r="I28" s="18" t="n">
        <v>0</v>
      </c>
      <c r="J28" s="18" t="n">
        <v>0</v>
      </c>
      <c r="K28" s="18" t="n">
        <v>0</v>
      </c>
      <c r="L28" s="18" t="n">
        <v>0</v>
      </c>
      <c r="M28" s="18" t="n">
        <v>0</v>
      </c>
      <c r="N28" s="10" t="inlineStr">
        <is>
          <t>% p.a.</t>
        </is>
      </c>
    </row>
    <row r="29">
      <c r="A29" s="10" t="inlineStr">
        <is>
          <t>Shock</t>
        </is>
      </c>
      <c r="B29" s="7" t="inlineStr">
        <is>
          <t>Shock: Cost of sales (incl. store occupancy) as % of total sales</t>
        </is>
      </c>
      <c r="D29" s="18" t="n">
        <v>0</v>
      </c>
      <c r="E29" s="18" t="n">
        <v>0</v>
      </c>
      <c r="F29" s="18" t="n">
        <v>0</v>
      </c>
      <c r="G29" s="18" t="n">
        <v>0</v>
      </c>
      <c r="H29" s="18" t="n">
        <v>0</v>
      </c>
      <c r="I29" s="18" t="n">
        <v>0</v>
      </c>
      <c r="J29" s="18" t="n">
        <v>0</v>
      </c>
      <c r="K29" s="18" t="n">
        <v>0</v>
      </c>
      <c r="L29" s="18" t="n">
        <v>0</v>
      </c>
      <c r="M29" s="18" t="n">
        <v>0</v>
      </c>
      <c r="N29" s="10" t="inlineStr">
        <is>
          <t>% of sales</t>
        </is>
      </c>
    </row>
    <row r="30">
      <c r="A30" s="10" t="inlineStr">
        <is>
          <t>Shock</t>
        </is>
      </c>
      <c r="B30" s="7" t="inlineStr">
        <is>
          <t>Shock: Variable SG&amp;A (store payroll, advertising, credit) as % of total sales</t>
        </is>
      </c>
      <c r="D30" s="18" t="n">
        <v>0</v>
      </c>
      <c r="E30" s="18" t="n">
        <v>0</v>
      </c>
      <c r="F30" s="18" t="n">
        <v>0</v>
      </c>
      <c r="G30" s="18" t="n">
        <v>0</v>
      </c>
      <c r="H30" s="18" t="n">
        <v>0</v>
      </c>
      <c r="I30" s="18" t="n">
        <v>0</v>
      </c>
      <c r="J30" s="18" t="n">
        <v>0</v>
      </c>
      <c r="K30" s="18" t="n">
        <v>0</v>
      </c>
      <c r="L30" s="18" t="n">
        <v>0</v>
      </c>
      <c r="M30" s="18" t="n">
        <v>0</v>
      </c>
      <c r="N30" s="10" t="inlineStr">
        <is>
          <t>% of sales</t>
        </is>
      </c>
    </row>
    <row r="31">
      <c r="A31" s="10" t="inlineStr">
        <is>
          <t>Shock</t>
        </is>
      </c>
      <c r="B31" s="7" t="inlineStr">
        <is>
          <t>Shock: Fixed SG&amp;A inflation (corporate, support, fixed store overhead)</t>
        </is>
      </c>
      <c r="D31" s="18" t="n">
        <v>0</v>
      </c>
      <c r="E31" s="18" t="n">
        <v>0</v>
      </c>
      <c r="F31" s="18" t="n">
        <v>0</v>
      </c>
      <c r="G31" s="18" t="n">
        <v>0</v>
      </c>
      <c r="H31" s="18" t="n">
        <v>0</v>
      </c>
      <c r="I31" s="18" t="n">
        <v>0</v>
      </c>
      <c r="J31" s="18" t="n">
        <v>0</v>
      </c>
      <c r="K31" s="18" t="n">
        <v>0</v>
      </c>
      <c r="L31" s="18" t="n">
        <v>0</v>
      </c>
      <c r="M31" s="18" t="n">
        <v>0</v>
      </c>
      <c r="N31" s="10" t="inlineStr">
        <is>
          <t>% p.a.</t>
        </is>
      </c>
    </row>
    <row r="32">
      <c r="A32" s="10" t="inlineStr">
        <is>
          <t>Shock</t>
        </is>
      </c>
      <c r="B32" s="7" t="inlineStr">
        <is>
          <t>Shock: Cost-savings initiatives (incremental run-rate cut to fixed SG&amp;A)</t>
        </is>
      </c>
      <c r="D32" s="20" t="n">
        <v>0</v>
      </c>
      <c r="E32" s="20" t="n">
        <v>0</v>
      </c>
      <c r="F32" s="20" t="n">
        <v>0</v>
      </c>
      <c r="G32" s="20" t="n">
        <v>0</v>
      </c>
      <c r="H32" s="20" t="n">
        <v>0</v>
      </c>
      <c r="I32" s="20" t="n">
        <v>0</v>
      </c>
      <c r="J32" s="20" t="n">
        <v>0</v>
      </c>
      <c r="K32" s="20" t="n">
        <v>0</v>
      </c>
      <c r="L32" s="20" t="n">
        <v>0</v>
      </c>
      <c r="M32" s="20" t="n">
        <v>0</v>
      </c>
      <c r="N32" s="10" t="inlineStr">
        <is>
          <t>$M</t>
        </is>
      </c>
    </row>
    <row r="33">
      <c r="A33" s="10" t="inlineStr">
        <is>
          <t>Shock</t>
        </is>
      </c>
      <c r="B33" s="7" t="inlineStr">
        <is>
          <t>Shock: Other operating income / (expense), one-time items (+ = income)</t>
        </is>
      </c>
      <c r="D33" s="20" t="n">
        <v>0</v>
      </c>
      <c r="E33" s="20" t="n">
        <v>0</v>
      </c>
      <c r="F33" s="20" t="n">
        <v>0</v>
      </c>
      <c r="G33" s="20" t="n">
        <v>0</v>
      </c>
      <c r="H33" s="20" t="n">
        <v>0</v>
      </c>
      <c r="I33" s="20" t="n">
        <v>0</v>
      </c>
      <c r="J33" s="20" t="n">
        <v>0</v>
      </c>
      <c r="K33" s="20" t="n">
        <v>0</v>
      </c>
      <c r="L33" s="20" t="n">
        <v>0</v>
      </c>
      <c r="M33" s="20" t="n">
        <v>0</v>
      </c>
      <c r="N33" s="10" t="inlineStr">
        <is>
          <t>$M</t>
        </is>
      </c>
    </row>
    <row r="34">
      <c r="A34" s="10" t="inlineStr">
        <is>
          <t>Shock</t>
        </is>
      </c>
      <c r="B34" s="7" t="inlineStr">
        <is>
          <t>Shock: Net yield on invested assets (cash &amp; equivalents)</t>
        </is>
      </c>
      <c r="D34" s="18" t="n">
        <v>0</v>
      </c>
      <c r="E34" s="18" t="n">
        <v>0</v>
      </c>
      <c r="F34" s="18" t="n">
        <v>0</v>
      </c>
      <c r="G34" s="18" t="n">
        <v>0</v>
      </c>
      <c r="H34" s="18" t="n">
        <v>0</v>
      </c>
      <c r="I34" s="18" t="n">
        <v>0</v>
      </c>
      <c r="J34" s="18" t="n">
        <v>0</v>
      </c>
      <c r="K34" s="18" t="n">
        <v>0</v>
      </c>
      <c r="L34" s="18" t="n">
        <v>0</v>
      </c>
      <c r="M34" s="18" t="n">
        <v>0</v>
      </c>
      <c r="N34" s="10" t="inlineStr">
        <is>
          <t>% of prior-yr cash</t>
        </is>
      </c>
    </row>
    <row r="35">
      <c r="A35" s="10" t="inlineStr">
        <is>
          <t>Shock</t>
        </is>
      </c>
      <c r="B35" s="7" t="inlineStr">
        <is>
          <t>Shock: Interest rate on debt (ABL revolver; debt is zero in baseline)</t>
        </is>
      </c>
      <c r="D35" s="18" t="n">
        <v>0</v>
      </c>
      <c r="E35" s="18" t="n">
        <v>0</v>
      </c>
      <c r="F35" s="18" t="n">
        <v>0</v>
      </c>
      <c r="G35" s="18" t="n">
        <v>0</v>
      </c>
      <c r="H35" s="18" t="n">
        <v>0</v>
      </c>
      <c r="I35" s="18" t="n">
        <v>0</v>
      </c>
      <c r="J35" s="18" t="n">
        <v>0</v>
      </c>
      <c r="K35" s="18" t="n">
        <v>0</v>
      </c>
      <c r="L35" s="18" t="n">
        <v>0</v>
      </c>
      <c r="M35" s="18" t="n">
        <v>0</v>
      </c>
      <c r="N35" s="10" t="inlineStr">
        <is>
          <t>% of prior-yr debt</t>
        </is>
      </c>
    </row>
    <row r="36">
      <c r="A36" s="10" t="inlineStr">
        <is>
          <t>Shock</t>
        </is>
      </c>
      <c r="B36" s="7" t="inlineStr">
        <is>
          <t>Shock: Effective income tax rate</t>
        </is>
      </c>
      <c r="D36" s="18" t="n">
        <v>0</v>
      </c>
      <c r="E36" s="18" t="n">
        <v>0</v>
      </c>
      <c r="F36" s="18" t="n">
        <v>0</v>
      </c>
      <c r="G36" s="18" t="n">
        <v>0</v>
      </c>
      <c r="H36" s="18" t="n">
        <v>0</v>
      </c>
      <c r="I36" s="18" t="n">
        <v>0</v>
      </c>
      <c r="J36" s="18" t="n">
        <v>0</v>
      </c>
      <c r="K36" s="18" t="n">
        <v>0</v>
      </c>
      <c r="L36" s="18" t="n">
        <v>0</v>
      </c>
      <c r="M36" s="18" t="n">
        <v>0</v>
      </c>
      <c r="N36" s="10" t="inlineStr">
        <is>
          <t>% of pre-tax</t>
        </is>
      </c>
    </row>
    <row r="37">
      <c r="A37" s="10" t="inlineStr">
        <is>
          <t>Shock</t>
        </is>
      </c>
      <c r="B37" s="7" t="inlineStr">
        <is>
          <t>Shock: Discount rate (cost of equity, CAPM) - single rate for the segment</t>
        </is>
      </c>
      <c r="D37" s="18" t="n">
        <v>0</v>
      </c>
      <c r="N37" s="10" t="inlineStr">
        <is>
          <t>% p.a.</t>
        </is>
      </c>
    </row>
    <row r="39">
      <c r="A39" s="12" t="inlineStr">
        <is>
          <t>ASSUMPTIONS FOR SCENARIO RUN  (every cell = baseline + shock; the projection reads ONLY this block)</t>
        </is>
      </c>
      <c r="B39" s="13" t="n"/>
      <c r="C39" s="13" t="n"/>
      <c r="D39" s="13" t="n"/>
      <c r="E39" s="13" t="n"/>
      <c r="F39" s="13" t="n"/>
      <c r="G39" s="13" t="n"/>
      <c r="H39" s="13" t="n"/>
      <c r="I39" s="13" t="n"/>
      <c r="J39" s="13" t="n"/>
      <c r="K39" s="13" t="n"/>
      <c r="L39" s="13" t="n"/>
      <c r="M39" s="13" t="n"/>
      <c r="N39" s="13" t="n"/>
      <c r="O39" s="13" t="n"/>
    </row>
    <row r="40">
      <c r="A40" s="10" t="inlineStr">
        <is>
          <t>Scenario</t>
        </is>
      </c>
      <c r="B40" s="7" t="inlineStr">
        <is>
          <t>Scenario: Gross store openings (number of stores)</t>
        </is>
      </c>
      <c r="D40" s="16">
        <f>D6+D23</f>
        <v/>
      </c>
      <c r="E40" s="16">
        <f>E6+E23</f>
        <v/>
      </c>
      <c r="F40" s="16">
        <f>F6+F23</f>
        <v/>
      </c>
      <c r="G40" s="16">
        <f>G6+G23</f>
        <v/>
      </c>
      <c r="H40" s="16">
        <f>H6+H23</f>
        <v/>
      </c>
      <c r="I40" s="16">
        <f>I6+I23</f>
        <v/>
      </c>
      <c r="J40" s="16">
        <f>J6+J23</f>
        <v/>
      </c>
      <c r="K40" s="16">
        <f>K6+K23</f>
        <v/>
      </c>
      <c r="L40" s="16">
        <f>L6+L23</f>
        <v/>
      </c>
      <c r="M40" s="16">
        <f>M6+M23</f>
        <v/>
      </c>
      <c r="N40" s="10" t="inlineStr">
        <is>
          <t># stores</t>
        </is>
      </c>
    </row>
    <row r="41">
      <c r="A41" s="10" t="inlineStr">
        <is>
          <t>Scenario</t>
        </is>
      </c>
      <c r="B41" s="7" t="inlineStr">
        <is>
          <t>Scenario: Store closures (number of stores)</t>
        </is>
      </c>
      <c r="D41" s="16">
        <f>D7+D24</f>
        <v/>
      </c>
      <c r="E41" s="16">
        <f>E7+E24</f>
        <v/>
      </c>
      <c r="F41" s="16">
        <f>F7+F24</f>
        <v/>
      </c>
      <c r="G41" s="16">
        <f>G7+G24</f>
        <v/>
      </c>
      <c r="H41" s="16">
        <f>H7+H24</f>
        <v/>
      </c>
      <c r="I41" s="16">
        <f>I7+I24</f>
        <v/>
      </c>
      <c r="J41" s="16">
        <f>J7+J24</f>
        <v/>
      </c>
      <c r="K41" s="16">
        <f>K7+K24</f>
        <v/>
      </c>
      <c r="L41" s="16">
        <f>L7+L24</f>
        <v/>
      </c>
      <c r="M41" s="16">
        <f>M7+M24</f>
        <v/>
      </c>
      <c r="N41" s="10" t="inlineStr">
        <is>
          <t># stores</t>
        </is>
      </c>
    </row>
    <row r="42">
      <c r="A42" s="10" t="inlineStr">
        <is>
          <t>Scenario</t>
        </is>
      </c>
      <c r="B42" s="7" t="inlineStr">
        <is>
          <t>Scenario: Same-store sales growth (applied to merchandise sales per average store)</t>
        </is>
      </c>
      <c r="D42" s="19">
        <f>D8+D25</f>
        <v/>
      </c>
      <c r="E42" s="19">
        <f>E8+E25</f>
        <v/>
      </c>
      <c r="F42" s="19">
        <f>F8+F25</f>
        <v/>
      </c>
      <c r="G42" s="19">
        <f>G8+G25</f>
        <v/>
      </c>
      <c r="H42" s="19">
        <f>H8+H25</f>
        <v/>
      </c>
      <c r="I42" s="19">
        <f>I8+I25</f>
        <v/>
      </c>
      <c r="J42" s="19">
        <f>J8+J25</f>
        <v/>
      </c>
      <c r="K42" s="19">
        <f>K8+K25</f>
        <v/>
      </c>
      <c r="L42" s="19">
        <f>L8+L25</f>
        <v/>
      </c>
      <c r="M42" s="19">
        <f>M8+M25</f>
        <v/>
      </c>
      <c r="N42" s="10" t="inlineStr">
        <is>
          <t>% p.a.</t>
        </is>
      </c>
    </row>
    <row r="43">
      <c r="A43" s="10" t="inlineStr">
        <is>
          <t>Scenario</t>
        </is>
      </c>
      <c r="B43" s="7" t="inlineStr">
        <is>
          <t>Scenario: E-commerce merchandise sales growth</t>
        </is>
      </c>
      <c r="D43" s="19">
        <f>D9+D26</f>
        <v/>
      </c>
      <c r="E43" s="19">
        <f>E9+E26</f>
        <v/>
      </c>
      <c r="F43" s="19">
        <f>F9+F26</f>
        <v/>
      </c>
      <c r="G43" s="19">
        <f>G9+G26</f>
        <v/>
      </c>
      <c r="H43" s="19">
        <f>H9+H26</f>
        <v/>
      </c>
      <c r="I43" s="19">
        <f>I9+I26</f>
        <v/>
      </c>
      <c r="J43" s="19">
        <f>J9+J26</f>
        <v/>
      </c>
      <c r="K43" s="19">
        <f>K9+K26</f>
        <v/>
      </c>
      <c r="L43" s="19">
        <f>L9+L26</f>
        <v/>
      </c>
      <c r="M43" s="19">
        <f>M9+M26</f>
        <v/>
      </c>
      <c r="N43" s="10" t="inlineStr">
        <is>
          <t>% p.a.</t>
        </is>
      </c>
    </row>
    <row r="44">
      <c r="A44" s="10" t="inlineStr">
        <is>
          <t>Scenario</t>
        </is>
      </c>
      <c r="B44" s="7" t="inlineStr">
        <is>
          <t>Scenario: Services attach rate (services revenue as % of merchandise sales)</t>
        </is>
      </c>
      <c r="D44" s="19">
        <f>D10+D27</f>
        <v/>
      </c>
      <c r="E44" s="19">
        <f>E10+E27</f>
        <v/>
      </c>
      <c r="F44" s="19">
        <f>F10+F27</f>
        <v/>
      </c>
      <c r="G44" s="19">
        <f>G10+G27</f>
        <v/>
      </c>
      <c r="H44" s="19">
        <f>H10+H27</f>
        <v/>
      </c>
      <c r="I44" s="19">
        <f>I10+I27</f>
        <v/>
      </c>
      <c r="J44" s="19">
        <f>J10+J27</f>
        <v/>
      </c>
      <c r="K44" s="19">
        <f>K10+K27</f>
        <v/>
      </c>
      <c r="L44" s="19">
        <f>L10+L27</f>
        <v/>
      </c>
      <c r="M44" s="19">
        <f>M10+M27</f>
        <v/>
      </c>
      <c r="N44" s="10" t="inlineStr">
        <is>
          <t>% of merch.</t>
        </is>
      </c>
    </row>
    <row r="45">
      <c r="A45" s="10" t="inlineStr">
        <is>
          <t>Scenario</t>
        </is>
      </c>
      <c r="B45" s="7" t="inlineStr">
        <is>
          <t>Scenario: Other (non-retail / diamond sourcing) revenue growth</t>
        </is>
      </c>
      <c r="D45" s="19">
        <f>D11+D28</f>
        <v/>
      </c>
      <c r="E45" s="19">
        <f>E11+E28</f>
        <v/>
      </c>
      <c r="F45" s="19">
        <f>F11+F28</f>
        <v/>
      </c>
      <c r="G45" s="19">
        <f>G11+G28</f>
        <v/>
      </c>
      <c r="H45" s="19">
        <f>H11+H28</f>
        <v/>
      </c>
      <c r="I45" s="19">
        <f>I11+I28</f>
        <v/>
      </c>
      <c r="J45" s="19">
        <f>J11+J28</f>
        <v/>
      </c>
      <c r="K45" s="19">
        <f>K11+K28</f>
        <v/>
      </c>
      <c r="L45" s="19">
        <f>L11+L28</f>
        <v/>
      </c>
      <c r="M45" s="19">
        <f>M11+M28</f>
        <v/>
      </c>
      <c r="N45" s="10" t="inlineStr">
        <is>
          <t>% p.a.</t>
        </is>
      </c>
    </row>
    <row r="46">
      <c r="A46" s="10" t="inlineStr">
        <is>
          <t>Scenario</t>
        </is>
      </c>
      <c r="B46" s="7" t="inlineStr">
        <is>
          <t>Scenario: Cost of sales (incl. store occupancy) as % of total sales</t>
        </is>
      </c>
      <c r="D46" s="19">
        <f>D12+D29</f>
        <v/>
      </c>
      <c r="E46" s="19">
        <f>E12+E29</f>
        <v/>
      </c>
      <c r="F46" s="19">
        <f>F12+F29</f>
        <v/>
      </c>
      <c r="G46" s="19">
        <f>G12+G29</f>
        <v/>
      </c>
      <c r="H46" s="19">
        <f>H12+H29</f>
        <v/>
      </c>
      <c r="I46" s="19">
        <f>I12+I29</f>
        <v/>
      </c>
      <c r="J46" s="19">
        <f>J12+J29</f>
        <v/>
      </c>
      <c r="K46" s="19">
        <f>K12+K29</f>
        <v/>
      </c>
      <c r="L46" s="19">
        <f>L12+L29</f>
        <v/>
      </c>
      <c r="M46" s="19">
        <f>M12+M29</f>
        <v/>
      </c>
      <c r="N46" s="10" t="inlineStr">
        <is>
          <t>% of sales</t>
        </is>
      </c>
    </row>
    <row r="47">
      <c r="A47" s="10" t="inlineStr">
        <is>
          <t>Scenario</t>
        </is>
      </c>
      <c r="B47" s="7" t="inlineStr">
        <is>
          <t>Scenario: Variable SG&amp;A (store payroll, advertising, credit) as % of total sales</t>
        </is>
      </c>
      <c r="D47" s="19">
        <f>D13+D30</f>
        <v/>
      </c>
      <c r="E47" s="19">
        <f>E13+E30</f>
        <v/>
      </c>
      <c r="F47" s="19">
        <f>F13+F30</f>
        <v/>
      </c>
      <c r="G47" s="19">
        <f>G13+G30</f>
        <v/>
      </c>
      <c r="H47" s="19">
        <f>H13+H30</f>
        <v/>
      </c>
      <c r="I47" s="19">
        <f>I13+I30</f>
        <v/>
      </c>
      <c r="J47" s="19">
        <f>J13+J30</f>
        <v/>
      </c>
      <c r="K47" s="19">
        <f>K13+K30</f>
        <v/>
      </c>
      <c r="L47" s="19">
        <f>L13+L30</f>
        <v/>
      </c>
      <c r="M47" s="19">
        <f>M13+M30</f>
        <v/>
      </c>
      <c r="N47" s="10" t="inlineStr">
        <is>
          <t>% of sales</t>
        </is>
      </c>
    </row>
    <row r="48">
      <c r="A48" s="10" t="inlineStr">
        <is>
          <t>Scenario</t>
        </is>
      </c>
      <c r="B48" s="7" t="inlineStr">
        <is>
          <t>Scenario: Fixed SG&amp;A inflation (corporate, support, fixed store overhead)</t>
        </is>
      </c>
      <c r="D48" s="19">
        <f>D14+D31</f>
        <v/>
      </c>
      <c r="E48" s="19">
        <f>E14+E31</f>
        <v/>
      </c>
      <c r="F48" s="19">
        <f>F14+F31</f>
        <v/>
      </c>
      <c r="G48" s="19">
        <f>G14+G31</f>
        <v/>
      </c>
      <c r="H48" s="19">
        <f>H14+H31</f>
        <v/>
      </c>
      <c r="I48" s="19">
        <f>I14+I31</f>
        <v/>
      </c>
      <c r="J48" s="19">
        <f>J14+J31</f>
        <v/>
      </c>
      <c r="K48" s="19">
        <f>K14+K31</f>
        <v/>
      </c>
      <c r="L48" s="19">
        <f>L14+L31</f>
        <v/>
      </c>
      <c r="M48" s="19">
        <f>M14+M31</f>
        <v/>
      </c>
      <c r="N48" s="10" t="inlineStr">
        <is>
          <t>% p.a.</t>
        </is>
      </c>
    </row>
    <row r="49">
      <c r="A49" s="10" t="inlineStr">
        <is>
          <t>Scenario</t>
        </is>
      </c>
      <c r="B49" s="7" t="inlineStr">
        <is>
          <t>Scenario: Cost-savings initiatives (incremental run-rate cut to fixed SG&amp;A)</t>
        </is>
      </c>
      <c r="D49" s="21">
        <f>D15+D32</f>
        <v/>
      </c>
      <c r="E49" s="21">
        <f>E15+E32</f>
        <v/>
      </c>
      <c r="F49" s="21">
        <f>F15+F32</f>
        <v/>
      </c>
      <c r="G49" s="21">
        <f>G15+G32</f>
        <v/>
      </c>
      <c r="H49" s="21">
        <f>H15+H32</f>
        <v/>
      </c>
      <c r="I49" s="21">
        <f>I15+I32</f>
        <v/>
      </c>
      <c r="J49" s="21">
        <f>J15+J32</f>
        <v/>
      </c>
      <c r="K49" s="21">
        <f>K15+K32</f>
        <v/>
      </c>
      <c r="L49" s="21">
        <f>L15+L32</f>
        <v/>
      </c>
      <c r="M49" s="21">
        <f>M15+M32</f>
        <v/>
      </c>
      <c r="N49" s="10" t="inlineStr">
        <is>
          <t>$M</t>
        </is>
      </c>
    </row>
    <row r="50">
      <c r="A50" s="10" t="inlineStr">
        <is>
          <t>Scenario</t>
        </is>
      </c>
      <c r="B50" s="7" t="inlineStr">
        <is>
          <t>Scenario: Other operating income / (expense), one-time items (+ = income)</t>
        </is>
      </c>
      <c r="D50" s="21">
        <f>D16+D33</f>
        <v/>
      </c>
      <c r="E50" s="21">
        <f>E16+E33</f>
        <v/>
      </c>
      <c r="F50" s="21">
        <f>F16+F33</f>
        <v/>
      </c>
      <c r="G50" s="21">
        <f>G16+G33</f>
        <v/>
      </c>
      <c r="H50" s="21">
        <f>H16+H33</f>
        <v/>
      </c>
      <c r="I50" s="21">
        <f>I16+I33</f>
        <v/>
      </c>
      <c r="J50" s="21">
        <f>J16+J33</f>
        <v/>
      </c>
      <c r="K50" s="21">
        <f>K16+K33</f>
        <v/>
      </c>
      <c r="L50" s="21">
        <f>L16+L33</f>
        <v/>
      </c>
      <c r="M50" s="21">
        <f>M16+M33</f>
        <v/>
      </c>
      <c r="N50" s="10" t="inlineStr">
        <is>
          <t>$M</t>
        </is>
      </c>
    </row>
    <row r="51">
      <c r="A51" s="10" t="inlineStr">
        <is>
          <t>Scenario</t>
        </is>
      </c>
      <c r="B51" s="7" t="inlineStr">
        <is>
          <t>Scenario: Net yield on invested assets (cash &amp; equivalents)</t>
        </is>
      </c>
      <c r="D51" s="19">
        <f>D17+D34</f>
        <v/>
      </c>
      <c r="E51" s="19">
        <f>E17+E34</f>
        <v/>
      </c>
      <c r="F51" s="19">
        <f>F17+F34</f>
        <v/>
      </c>
      <c r="G51" s="19">
        <f>G17+G34</f>
        <v/>
      </c>
      <c r="H51" s="19">
        <f>H17+H34</f>
        <v/>
      </c>
      <c r="I51" s="19">
        <f>I17+I34</f>
        <v/>
      </c>
      <c r="J51" s="19">
        <f>J17+J34</f>
        <v/>
      </c>
      <c r="K51" s="19">
        <f>K17+K34</f>
        <v/>
      </c>
      <c r="L51" s="19">
        <f>L17+L34</f>
        <v/>
      </c>
      <c r="M51" s="19">
        <f>M17+M34</f>
        <v/>
      </c>
      <c r="N51" s="10" t="inlineStr">
        <is>
          <t>% of prior-yr cash</t>
        </is>
      </c>
    </row>
    <row r="52">
      <c r="A52" s="10" t="inlineStr">
        <is>
          <t>Scenario</t>
        </is>
      </c>
      <c r="B52" s="7" t="inlineStr">
        <is>
          <t>Scenario: Interest rate on debt (ABL revolver; debt is zero in baseline)</t>
        </is>
      </c>
      <c r="D52" s="19">
        <f>D18+D35</f>
        <v/>
      </c>
      <c r="E52" s="19">
        <f>E18+E35</f>
        <v/>
      </c>
      <c r="F52" s="19">
        <f>F18+F35</f>
        <v/>
      </c>
      <c r="G52" s="19">
        <f>G18+G35</f>
        <v/>
      </c>
      <c r="H52" s="19">
        <f>H18+H35</f>
        <v/>
      </c>
      <c r="I52" s="19">
        <f>I18+I35</f>
        <v/>
      </c>
      <c r="J52" s="19">
        <f>J18+J35</f>
        <v/>
      </c>
      <c r="K52" s="19">
        <f>K18+K35</f>
        <v/>
      </c>
      <c r="L52" s="19">
        <f>L18+L35</f>
        <v/>
      </c>
      <c r="M52" s="19">
        <f>M18+M35</f>
        <v/>
      </c>
      <c r="N52" s="10" t="inlineStr">
        <is>
          <t>% of prior-yr debt</t>
        </is>
      </c>
    </row>
    <row r="53">
      <c r="A53" s="10" t="inlineStr">
        <is>
          <t>Scenario</t>
        </is>
      </c>
      <c r="B53" s="7" t="inlineStr">
        <is>
          <t>Scenario: Effective income tax rate</t>
        </is>
      </c>
      <c r="D53" s="19">
        <f>D19+D36</f>
        <v/>
      </c>
      <c r="E53" s="19">
        <f>E19+E36</f>
        <v/>
      </c>
      <c r="F53" s="19">
        <f>F19+F36</f>
        <v/>
      </c>
      <c r="G53" s="19">
        <f>G19+G36</f>
        <v/>
      </c>
      <c r="H53" s="19">
        <f>H19+H36</f>
        <v/>
      </c>
      <c r="I53" s="19">
        <f>I19+I36</f>
        <v/>
      </c>
      <c r="J53" s="19">
        <f>J19+J36</f>
        <v/>
      </c>
      <c r="K53" s="19">
        <f>K19+K36</f>
        <v/>
      </c>
      <c r="L53" s="19">
        <f>L19+L36</f>
        <v/>
      </c>
      <c r="M53" s="19">
        <f>M19+M36</f>
        <v/>
      </c>
      <c r="N53" s="10" t="inlineStr">
        <is>
          <t>% of pre-tax</t>
        </is>
      </c>
    </row>
    <row r="54">
      <c r="A54" s="10" t="inlineStr">
        <is>
          <t>Scenario</t>
        </is>
      </c>
      <c r="B54" s="7" t="inlineStr">
        <is>
          <t>Scenario: Discount rate (cost of equity, CAPM) - single rate for the segment</t>
        </is>
      </c>
      <c r="D54" s="19">
        <f>D20+D37</f>
        <v/>
      </c>
      <c r="N54" s="10" t="inlineStr">
        <is>
          <t>% p.a.</t>
        </is>
      </c>
    </row>
    <row r="56">
      <c r="A56" s="12" t="inlineStr">
        <is>
          <t>PROJECTION  ($ millions unless stated; all formulas read the SCENARIO block, never the baseline block directly)</t>
        </is>
      </c>
      <c r="B56" s="13" t="n"/>
      <c r="C56" s="13" t="n"/>
      <c r="D56" s="13" t="n"/>
      <c r="E56" s="13" t="n"/>
      <c r="F56" s="13" t="n"/>
      <c r="G56" s="13" t="n"/>
      <c r="H56" s="13" t="n"/>
      <c r="I56" s="13" t="n"/>
      <c r="J56" s="13" t="n"/>
      <c r="K56" s="13" t="n"/>
      <c r="L56" s="13" t="n"/>
      <c r="M56" s="13" t="n"/>
      <c r="N56" s="13" t="n"/>
      <c r="O56" s="13" t="n"/>
    </row>
    <row r="57">
      <c r="A57" s="22" t="inlineStr">
        <is>
          <t>Drivers</t>
        </is>
      </c>
      <c r="B57" s="23" t="inlineStr">
        <is>
          <t>OPERATING DRIVERS</t>
        </is>
      </c>
      <c r="C57" s="24" t="n"/>
      <c r="D57" s="24" t="n"/>
      <c r="E57" s="24" t="n"/>
      <c r="F57" s="24" t="n"/>
      <c r="G57" s="24" t="n"/>
      <c r="H57" s="24" t="n"/>
      <c r="I57" s="24" t="n"/>
      <c r="J57" s="24" t="n"/>
      <c r="K57" s="24" t="n"/>
      <c r="L57" s="24" t="n"/>
      <c r="M57" s="24" t="n"/>
      <c r="N57" s="24" t="n"/>
      <c r="O57" s="24" t="n"/>
    </row>
    <row r="58">
      <c r="B58" s="7" t="inlineStr">
        <is>
          <t>Stores - beginning of year</t>
        </is>
      </c>
      <c r="C58" s="17" t="n">
        <v>263</v>
      </c>
      <c r="D58" s="16">
        <f>C61</f>
        <v/>
      </c>
      <c r="E58" s="16">
        <f>D61</f>
        <v/>
      </c>
      <c r="F58" s="16">
        <f>E61</f>
        <v/>
      </c>
      <c r="G58" s="16">
        <f>F61</f>
        <v/>
      </c>
      <c r="H58" s="16">
        <f>G61</f>
        <v/>
      </c>
      <c r="I58" s="16">
        <f>H61</f>
        <v/>
      </c>
      <c r="J58" s="16">
        <f>I61</f>
        <v/>
      </c>
      <c r="K58" s="16">
        <f>J61</f>
        <v/>
      </c>
      <c r="L58" s="16">
        <f>K61</f>
        <v/>
      </c>
      <c r="M58" s="16">
        <f>L61</f>
        <v/>
      </c>
      <c r="N58" s="10" t="inlineStr">
        <is>
          <t># stores</t>
        </is>
      </c>
      <c r="O58" s="10" t="inlineStr">
        <is>
          <t>Last Yr = stores at Feb 1, 2025 (10-K FY2026).</t>
        </is>
      </c>
    </row>
    <row r="59">
      <c r="B59" s="7" t="inlineStr">
        <is>
          <t>Gross store openings</t>
        </is>
      </c>
      <c r="C59" s="17" t="n">
        <v>0</v>
      </c>
      <c r="D59" s="16">
        <f>D40</f>
        <v/>
      </c>
      <c r="E59" s="16">
        <f>E40</f>
        <v/>
      </c>
      <c r="F59" s="16">
        <f>F40</f>
        <v/>
      </c>
      <c r="G59" s="16">
        <f>G40</f>
        <v/>
      </c>
      <c r="H59" s="16">
        <f>H40</f>
        <v/>
      </c>
      <c r="I59" s="16">
        <f>I40</f>
        <v/>
      </c>
      <c r="J59" s="16">
        <f>J40</f>
        <v/>
      </c>
      <c r="K59" s="16">
        <f>K40</f>
        <v/>
      </c>
      <c r="L59" s="16">
        <f>L40</f>
        <v/>
      </c>
      <c r="M59" s="16">
        <f>M40</f>
        <v/>
      </c>
      <c r="N59" s="10" t="inlineStr">
        <is>
          <t># stores</t>
        </is>
      </c>
      <c r="O59" s="10" t="inlineStr"/>
    </row>
    <row r="60">
      <c r="B60" s="7" t="inlineStr">
        <is>
          <t>Store closures</t>
        </is>
      </c>
      <c r="C60" s="17" t="n">
        <v>10</v>
      </c>
      <c r="D60" s="16">
        <f>D41</f>
        <v/>
      </c>
      <c r="E60" s="16">
        <f>E41</f>
        <v/>
      </c>
      <c r="F60" s="16">
        <f>F41</f>
        <v/>
      </c>
      <c r="G60" s="16">
        <f>G41</f>
        <v/>
      </c>
      <c r="H60" s="16">
        <f>H41</f>
        <v/>
      </c>
      <c r="I60" s="16">
        <f>I41</f>
        <v/>
      </c>
      <c r="J60" s="16">
        <f>J41</f>
        <v/>
      </c>
      <c r="K60" s="16">
        <f>K41</f>
        <v/>
      </c>
      <c r="L60" s="16">
        <f>L41</f>
        <v/>
      </c>
      <c r="M60" s="16">
        <f>M41</f>
        <v/>
      </c>
      <c r="N60" s="10" t="inlineStr">
        <is>
          <t># stores</t>
        </is>
      </c>
      <c r="O60" s="10" t="inlineStr"/>
    </row>
    <row r="61">
      <c r="B61" s="7" t="inlineStr">
        <is>
          <t>Stores - end of year</t>
        </is>
      </c>
      <c r="C61" s="16">
        <f>C58+C59-C60</f>
        <v/>
      </c>
      <c r="D61" s="16">
        <f>D58+D59-D60</f>
        <v/>
      </c>
      <c r="E61" s="16">
        <f>E58+E59-E60</f>
        <v/>
      </c>
      <c r="F61" s="16">
        <f>F58+F59-F60</f>
        <v/>
      </c>
      <c r="G61" s="16">
        <f>G58+G59-G60</f>
        <v/>
      </c>
      <c r="H61" s="16">
        <f>H58+H59-H60</f>
        <v/>
      </c>
      <c r="I61" s="16">
        <f>I58+I59-I60</f>
        <v/>
      </c>
      <c r="J61" s="16">
        <f>J58+J59-J60</f>
        <v/>
      </c>
      <c r="K61" s="16">
        <f>K58+K59-K60</f>
        <v/>
      </c>
      <c r="L61" s="16">
        <f>L58+L59-L60</f>
        <v/>
      </c>
      <c r="M61" s="16">
        <f>M58+M59-M60</f>
        <v/>
      </c>
      <c r="N61" s="10" t="inlineStr">
        <is>
          <t># stores</t>
        </is>
      </c>
      <c r="O61" s="10" t="inlineStr"/>
    </row>
    <row r="62">
      <c r="B62" s="7" t="inlineStr">
        <is>
          <t>Average stores in operation</t>
        </is>
      </c>
      <c r="C62" s="21">
        <f>AVERAGE(C58,C61)</f>
        <v/>
      </c>
      <c r="D62" s="21">
        <f>AVERAGE(D58,D61)</f>
        <v/>
      </c>
      <c r="E62" s="21">
        <f>AVERAGE(E58,E61)</f>
        <v/>
      </c>
      <c r="F62" s="21">
        <f>AVERAGE(F58,F61)</f>
        <v/>
      </c>
      <c r="G62" s="21">
        <f>AVERAGE(G58,G61)</f>
        <v/>
      </c>
      <c r="H62" s="21">
        <f>AVERAGE(H58,H61)</f>
        <v/>
      </c>
      <c r="I62" s="21">
        <f>AVERAGE(I58,I61)</f>
        <v/>
      </c>
      <c r="J62" s="21">
        <f>AVERAGE(J58,J61)</f>
        <v/>
      </c>
      <c r="K62" s="21">
        <f>AVERAGE(K58,K61)</f>
        <v/>
      </c>
      <c r="L62" s="21">
        <f>AVERAGE(L58,L61)</f>
        <v/>
      </c>
      <c r="M62" s="21">
        <f>AVERAGE(M58,M61)</f>
        <v/>
      </c>
      <c r="N62" s="10" t="inlineStr">
        <is>
          <t># stores</t>
        </is>
      </c>
      <c r="O62" s="10" t="inlineStr"/>
    </row>
    <row r="63">
      <c r="B63" s="7" t="inlineStr">
        <is>
          <t>Store merchandise sales per average store</t>
        </is>
      </c>
      <c r="C63" s="25">
        <f>IF(C62=0,0,C66/C62)</f>
        <v/>
      </c>
      <c r="D63" s="25">
        <f>C63*(1+D42)</f>
        <v/>
      </c>
      <c r="E63" s="25">
        <f>D63*(1+E42)</f>
        <v/>
      </c>
      <c r="F63" s="25">
        <f>E63*(1+F42)</f>
        <v/>
      </c>
      <c r="G63" s="25">
        <f>F63*(1+G42)</f>
        <v/>
      </c>
      <c r="H63" s="25">
        <f>G63*(1+H42)</f>
        <v/>
      </c>
      <c r="I63" s="25">
        <f>H63*(1+I42)</f>
        <v/>
      </c>
      <c r="J63" s="25">
        <f>I63*(1+J42)</f>
        <v/>
      </c>
      <c r="K63" s="25">
        <f>J63*(1+K42)</f>
        <v/>
      </c>
      <c r="L63" s="25">
        <f>K63*(1+L42)</f>
        <v/>
      </c>
      <c r="M63" s="25">
        <f>L63*(1+M42)</f>
        <v/>
      </c>
      <c r="N63" s="10" t="inlineStr">
        <is>
          <t>$M / store</t>
        </is>
      </c>
      <c r="O63" s="10" t="inlineStr">
        <is>
          <t>Last Yr calibrated = store merchandise sales / average stores; grows at same-store-sales assumption.</t>
        </is>
      </c>
    </row>
    <row r="64"/>
    <row r="65">
      <c r="A65" s="22" t="inlineStr">
        <is>
          <t>Income stmt</t>
        </is>
      </c>
      <c r="B65" s="23" t="inlineStr">
        <is>
          <t>INCOME STATEMENT</t>
        </is>
      </c>
      <c r="C65" s="24" t="n"/>
      <c r="D65" s="24" t="n"/>
      <c r="E65" s="24" t="n"/>
      <c r="F65" s="24" t="n"/>
      <c r="G65" s="24" t="n"/>
      <c r="H65" s="24" t="n"/>
      <c r="I65" s="24" t="n"/>
      <c r="J65" s="24" t="n"/>
      <c r="K65" s="24" t="n"/>
      <c r="L65" s="24" t="n"/>
      <c r="M65" s="24" t="n"/>
      <c r="N65" s="24" t="n"/>
      <c r="O65" s="24" t="n"/>
    </row>
    <row r="66">
      <c r="B66" s="7" t="inlineStr">
        <is>
          <t>Store merchandise sales (average stores x sales per store)</t>
        </is>
      </c>
      <c r="C66" s="20" t="n">
        <v>307.8</v>
      </c>
      <c r="D66" s="21">
        <f>D62*D63</f>
        <v/>
      </c>
      <c r="E66" s="21">
        <f>E62*E63</f>
        <v/>
      </c>
      <c r="F66" s="21">
        <f>F62*F63</f>
        <v/>
      </c>
      <c r="G66" s="21">
        <f>G62*G63</f>
        <v/>
      </c>
      <c r="H66" s="21">
        <f>H62*H63</f>
        <v/>
      </c>
      <c r="I66" s="21">
        <f>I62*I63</f>
        <v/>
      </c>
      <c r="J66" s="21">
        <f>J62*J63</f>
        <v/>
      </c>
      <c r="K66" s="21">
        <f>K62*K63</f>
        <v/>
      </c>
      <c r="L66" s="21">
        <f>L62*L63</f>
        <v/>
      </c>
      <c r="M66" s="21">
        <f>M62*M63</f>
        <v/>
      </c>
      <c r="N66" s="10" t="inlineStr">
        <is>
          <t>$M</t>
        </is>
      </c>
      <c r="O66" s="10" t="inlineStr"/>
    </row>
    <row r="67">
      <c r="B67" s="7" t="inlineStr">
        <is>
          <t>E-commerce merchandise sales</t>
        </is>
      </c>
      <c r="C67" s="20" t="n">
        <v>61.6</v>
      </c>
      <c r="D67" s="21">
        <f>C67*(1+D43)</f>
        <v/>
      </c>
      <c r="E67" s="21">
        <f>D67*(1+E43)</f>
        <v/>
      </c>
      <c r="F67" s="21">
        <f>E67*(1+F43)</f>
        <v/>
      </c>
      <c r="G67" s="21">
        <f>F67*(1+G43)</f>
        <v/>
      </c>
      <c r="H67" s="21">
        <f>G67*(1+H43)</f>
        <v/>
      </c>
      <c r="I67" s="21">
        <f>H67*(1+I43)</f>
        <v/>
      </c>
      <c r="J67" s="21">
        <f>I67*(1+J43)</f>
        <v/>
      </c>
      <c r="K67" s="21">
        <f>J67*(1+K43)</f>
        <v/>
      </c>
      <c r="L67" s="21">
        <f>K67*(1+L43)</f>
        <v/>
      </c>
      <c r="M67" s="21">
        <f>L67*(1+M43)</f>
        <v/>
      </c>
      <c r="N67" s="10" t="inlineStr">
        <is>
          <t>$M</t>
        </is>
      </c>
      <c r="O67" s="10" t="inlineStr">
        <is>
          <t>Last Yr: NA 1,423.8 incl. James Allen + Blue Nile 481.5; company e-commerce 21.8% of sales.</t>
        </is>
      </c>
    </row>
    <row r="68">
      <c r="B68" s="7" t="inlineStr">
        <is>
          <t>Services revenue (extended service plans, repairs, custom design)</t>
        </is>
      </c>
      <c r="C68" s="20" t="n">
        <v>41</v>
      </c>
      <c r="D68" s="21">
        <f>(D66+D67)*D44</f>
        <v/>
      </c>
      <c r="E68" s="21">
        <f>(E66+E67)*E44</f>
        <v/>
      </c>
      <c r="F68" s="21">
        <f>(F66+F67)*F44</f>
        <v/>
      </c>
      <c r="G68" s="21">
        <f>(G66+G67)*G44</f>
        <v/>
      </c>
      <c r="H68" s="21">
        <f>(H66+H67)*H44</f>
        <v/>
      </c>
      <c r="I68" s="21">
        <f>(I66+I67)*I44</f>
        <v/>
      </c>
      <c r="J68" s="21">
        <f>(J66+J67)*J44</f>
        <v/>
      </c>
      <c r="K68" s="21">
        <f>(K66+K67)*K44</f>
        <v/>
      </c>
      <c r="L68" s="21">
        <f>(L66+L67)*L44</f>
        <v/>
      </c>
      <c r="M68" s="21">
        <f>(M66+M67)*M44</f>
        <v/>
      </c>
      <c r="N68" s="10" t="inlineStr">
        <is>
          <t>$M</t>
        </is>
      </c>
      <c r="O68" s="10" t="inlineStr">
        <is>
          <t>FY2026 services 803.5 consolidated (10-K); attach rate assumption x merchandise sales.</t>
        </is>
      </c>
    </row>
    <row r="69">
      <c r="B69" s="7" t="inlineStr">
        <is>
          <t>Other revenue (diamond sourcing / non-retail)</t>
        </is>
      </c>
      <c r="C69" s="20" t="n">
        <v>0</v>
      </c>
      <c r="D69" s="21">
        <f>C69*(1+D45)</f>
        <v/>
      </c>
      <c r="E69" s="21">
        <f>D69*(1+E45)</f>
        <v/>
      </c>
      <c r="F69" s="21">
        <f>E69*(1+F45)</f>
        <v/>
      </c>
      <c r="G69" s="21">
        <f>F69*(1+G45)</f>
        <v/>
      </c>
      <c r="H69" s="21">
        <f>G69*(1+H45)</f>
        <v/>
      </c>
      <c r="I69" s="21">
        <f>H69*(1+I45)</f>
        <v/>
      </c>
      <c r="J69" s="21">
        <f>I69*(1+J45)</f>
        <v/>
      </c>
      <c r="K69" s="21">
        <f>J69*(1+K45)</f>
        <v/>
      </c>
      <c r="L69" s="21">
        <f>K69*(1+L45)</f>
        <v/>
      </c>
      <c r="M69" s="21">
        <f>L69*(1+M45)</f>
        <v/>
      </c>
      <c r="N69" s="10" t="inlineStr">
        <is>
          <t>$M</t>
        </is>
      </c>
      <c r="O69" s="10" t="inlineStr">
        <is>
          <t>Diamond-sourcing sales to third parties (Other segment).</t>
        </is>
      </c>
    </row>
    <row r="70">
      <c r="B70" s="3" t="inlineStr">
        <is>
          <t>TOTAL SALES</t>
        </is>
      </c>
      <c r="C70" s="26">
        <f>SUM(C66:C69)</f>
        <v/>
      </c>
      <c r="D70" s="26">
        <f>SUM(D66:D69)</f>
        <v/>
      </c>
      <c r="E70" s="26">
        <f>SUM(E66:E69)</f>
        <v/>
      </c>
      <c r="F70" s="26">
        <f>SUM(F66:F69)</f>
        <v/>
      </c>
      <c r="G70" s="26">
        <f>SUM(G66:G69)</f>
        <v/>
      </c>
      <c r="H70" s="26">
        <f>SUM(H66:H69)</f>
        <v/>
      </c>
      <c r="I70" s="26">
        <f>SUM(I66:I69)</f>
        <v/>
      </c>
      <c r="J70" s="26">
        <f>SUM(J66:J69)</f>
        <v/>
      </c>
      <c r="K70" s="26">
        <f>SUM(K66:K69)</f>
        <v/>
      </c>
      <c r="L70" s="26">
        <f>SUM(L66:L69)</f>
        <v/>
      </c>
      <c r="M70" s="26">
        <f>SUM(M66:M69)</f>
        <v/>
      </c>
      <c r="N70" s="10" t="inlineStr">
        <is>
          <t>$M</t>
        </is>
      </c>
      <c r="O70" s="10" t="inlineStr">
        <is>
          <t>FY2026A ties to reported segment sales.</t>
        </is>
      </c>
    </row>
    <row r="71">
      <c r="B71" s="7" t="inlineStr">
        <is>
          <t>Revenue growth (calculated check row)</t>
        </is>
      </c>
      <c r="D71" s="19">
        <f>IF(C70=0,0,D70/C70-1)</f>
        <v/>
      </c>
      <c r="E71" s="19">
        <f>IF(D70=0,0,E70/D70-1)</f>
        <v/>
      </c>
      <c r="F71" s="19">
        <f>IF(E70=0,0,F70/E70-1)</f>
        <v/>
      </c>
      <c r="G71" s="19">
        <f>IF(F70=0,0,G70/F70-1)</f>
        <v/>
      </c>
      <c r="H71" s="19">
        <f>IF(G70=0,0,H70/G70-1)</f>
        <v/>
      </c>
      <c r="I71" s="19">
        <f>IF(H70=0,0,I70/H70-1)</f>
        <v/>
      </c>
      <c r="J71" s="19">
        <f>IF(I70=0,0,J70/I70-1)</f>
        <v/>
      </c>
      <c r="K71" s="19">
        <f>IF(J70=0,0,K70/J70-1)</f>
        <v/>
      </c>
      <c r="L71" s="19">
        <f>IF(K70=0,0,L70/K70-1)</f>
        <v/>
      </c>
      <c r="M71" s="19">
        <f>IF(L70=0,0,M70/L70-1)</f>
        <v/>
      </c>
      <c r="N71" s="10" t="inlineStr">
        <is>
          <t>%</t>
        </is>
      </c>
      <c r="O71" s="10" t="inlineStr"/>
    </row>
    <row r="72">
      <c r="B72" s="7" t="inlineStr">
        <is>
          <t>Cost of sales (merchandise, services and store occupancy)</t>
        </is>
      </c>
      <c r="C72" s="20" t="n">
        <v>279.1</v>
      </c>
      <c r="D72" s="21">
        <f>D70*D46</f>
        <v/>
      </c>
      <c r="E72" s="21">
        <f>E70*E46</f>
        <v/>
      </c>
      <c r="F72" s="21">
        <f>F70*F46</f>
        <v/>
      </c>
      <c r="G72" s="21">
        <f>G70*G46</f>
        <v/>
      </c>
      <c r="H72" s="21">
        <f>H70*H46</f>
        <v/>
      </c>
      <c r="I72" s="21">
        <f>I70*I46</f>
        <v/>
      </c>
      <c r="J72" s="21">
        <f>J70*J46</f>
        <v/>
      </c>
      <c r="K72" s="21">
        <f>K70*K46</f>
        <v/>
      </c>
      <c r="L72" s="21">
        <f>L70*L46</f>
        <v/>
      </c>
      <c r="M72" s="21">
        <f>M70*M46</f>
        <v/>
      </c>
      <c r="N72" s="10" t="inlineStr">
        <is>
          <t>$M</t>
        </is>
      </c>
      <c r="O72" s="10" t="inlineStr">
        <is>
          <t>Segment split of consolidated 4,119.0 is a team allocation (see Assumptions &amp; Sources).</t>
        </is>
      </c>
    </row>
    <row r="73">
      <c r="B73" s="3" t="inlineStr">
        <is>
          <t>Gross profit</t>
        </is>
      </c>
      <c r="C73" s="26">
        <f>C70-C72</f>
        <v/>
      </c>
      <c r="D73" s="26">
        <f>D70-D72</f>
        <v/>
      </c>
      <c r="E73" s="26">
        <f>E70-E72</f>
        <v/>
      </c>
      <c r="F73" s="26">
        <f>F70-F72</f>
        <v/>
      </c>
      <c r="G73" s="26">
        <f>G70-G72</f>
        <v/>
      </c>
      <c r="H73" s="26">
        <f>H70-H72</f>
        <v/>
      </c>
      <c r="I73" s="26">
        <f>I70-I72</f>
        <v/>
      </c>
      <c r="J73" s="26">
        <f>J70-J72</f>
        <v/>
      </c>
      <c r="K73" s="26">
        <f>K70-K72</f>
        <v/>
      </c>
      <c r="L73" s="26">
        <f>L70-L72</f>
        <v/>
      </c>
      <c r="M73" s="26">
        <f>M70-M72</f>
        <v/>
      </c>
      <c r="N73" s="10" t="inlineStr">
        <is>
          <t>$M</t>
        </is>
      </c>
      <c r="O73" s="10" t="inlineStr"/>
    </row>
    <row r="74">
      <c r="B74" s="7" t="inlineStr">
        <is>
          <t>Gross margin %</t>
        </is>
      </c>
      <c r="C74" s="19">
        <f>IF(C70=0,0,C73/C70)</f>
        <v/>
      </c>
      <c r="D74" s="19">
        <f>IF(D70=0,0,D73/D70)</f>
        <v/>
      </c>
      <c r="E74" s="19">
        <f>IF(E70=0,0,E73/E70)</f>
        <v/>
      </c>
      <c r="F74" s="19">
        <f>IF(F70=0,0,F73/F70)</f>
        <v/>
      </c>
      <c r="G74" s="19">
        <f>IF(G70=0,0,G73/G70)</f>
        <v/>
      </c>
      <c r="H74" s="19">
        <f>IF(H70=0,0,H73/H70)</f>
        <v/>
      </c>
      <c r="I74" s="19">
        <f>IF(I70=0,0,I73/I70)</f>
        <v/>
      </c>
      <c r="J74" s="19">
        <f>IF(J70=0,0,J73/J70)</f>
        <v/>
      </c>
      <c r="K74" s="19">
        <f>IF(K70=0,0,K73/K70)</f>
        <v/>
      </c>
      <c r="L74" s="19">
        <f>IF(L70=0,0,L73/L70)</f>
        <v/>
      </c>
      <c r="M74" s="19">
        <f>IF(M70=0,0,M73/M70)</f>
        <v/>
      </c>
      <c r="N74" s="10" t="inlineStr">
        <is>
          <t>%</t>
        </is>
      </c>
      <c r="O74" s="10" t="inlineStr"/>
    </row>
    <row r="75">
      <c r="B75" s="7" t="inlineStr">
        <is>
          <t>Variable SG&amp;A</t>
        </is>
      </c>
      <c r="C75" s="20" t="n">
        <v>61.6</v>
      </c>
      <c r="D75" s="21">
        <f>D70*D47</f>
        <v/>
      </c>
      <c r="E75" s="21">
        <f>E70*E47</f>
        <v/>
      </c>
      <c r="F75" s="21">
        <f>F70*F47</f>
        <v/>
      </c>
      <c r="G75" s="21">
        <f>G70*G47</f>
        <v/>
      </c>
      <c r="H75" s="21">
        <f>H70*H47</f>
        <v/>
      </c>
      <c r="I75" s="21">
        <f>I70*I47</f>
        <v/>
      </c>
      <c r="J75" s="21">
        <f>J70*J47</f>
        <v/>
      </c>
      <c r="K75" s="21">
        <f>K70*K47</f>
        <v/>
      </c>
      <c r="L75" s="21">
        <f>L70*L47</f>
        <v/>
      </c>
      <c r="M75" s="21">
        <f>M70*M47</f>
        <v/>
      </c>
      <c r="N75" s="10" t="inlineStr">
        <is>
          <t>$M</t>
        </is>
      </c>
      <c r="O75" s="10" t="inlineStr"/>
    </row>
    <row r="76">
      <c r="B76" s="7" t="inlineStr">
        <is>
          <t>Fixed SG&amp;A (net of cost savings)</t>
        </is>
      </c>
      <c r="C76" s="20" t="n">
        <v>51.4</v>
      </c>
      <c r="D76" s="21">
        <f>C76*(1+D48)-D49</f>
        <v/>
      </c>
      <c r="E76" s="21">
        <f>D76*(1+E48)-E49</f>
        <v/>
      </c>
      <c r="F76" s="21">
        <f>E76*(1+F48)-F49</f>
        <v/>
      </c>
      <c r="G76" s="21">
        <f>F76*(1+G48)-G49</f>
        <v/>
      </c>
      <c r="H76" s="21">
        <f>G76*(1+H48)-H49</f>
        <v/>
      </c>
      <c r="I76" s="21">
        <f>H76*(1+I48)-I49</f>
        <v/>
      </c>
      <c r="J76" s="21">
        <f>I76*(1+J48)-J49</f>
        <v/>
      </c>
      <c r="K76" s="21">
        <f>J76*(1+K48)-K49</f>
        <v/>
      </c>
      <c r="L76" s="21">
        <f>K76*(1+L48)-L49</f>
        <v/>
      </c>
      <c r="M76" s="21">
        <f>L76*(1+M48)-M49</f>
        <v/>
      </c>
      <c r="N76" s="10" t="inlineStr">
        <is>
          <t>$M</t>
        </is>
      </c>
      <c r="O76" s="10" t="inlineStr">
        <is>
          <t>Last Yr fixed SG&amp;A = segment SG&amp;A less variable component.</t>
        </is>
      </c>
    </row>
    <row r="77">
      <c r="B77" s="7" t="inlineStr">
        <is>
          <t>Total SG&amp;A</t>
        </is>
      </c>
      <c r="C77" s="21">
        <f>C75+C76</f>
        <v/>
      </c>
      <c r="D77" s="21">
        <f>D75+D76</f>
        <v/>
      </c>
      <c r="E77" s="21">
        <f>E75+E76</f>
        <v/>
      </c>
      <c r="F77" s="21">
        <f>F75+F76</f>
        <v/>
      </c>
      <c r="G77" s="21">
        <f>G75+G76</f>
        <v/>
      </c>
      <c r="H77" s="21">
        <f>H75+H76</f>
        <v/>
      </c>
      <c r="I77" s="21">
        <f>I75+I76</f>
        <v/>
      </c>
      <c r="J77" s="21">
        <f>J75+J76</f>
        <v/>
      </c>
      <c r="K77" s="21">
        <f>K75+K76</f>
        <v/>
      </c>
      <c r="L77" s="21">
        <f>L75+L76</f>
        <v/>
      </c>
      <c r="M77" s="21">
        <f>M75+M76</f>
        <v/>
      </c>
      <c r="N77" s="10" t="inlineStr">
        <is>
          <t>$M</t>
        </is>
      </c>
      <c r="O77" s="10" t="inlineStr"/>
    </row>
    <row r="78">
      <c r="B78" s="7" t="inlineStr">
        <is>
          <t>SG&amp;A % of sales</t>
        </is>
      </c>
      <c r="C78" s="19">
        <f>IF(C70=0,0,C77/C70)</f>
        <v/>
      </c>
      <c r="D78" s="19">
        <f>IF(D70=0,0,D77/D70)</f>
        <v/>
      </c>
      <c r="E78" s="19">
        <f>IF(E70=0,0,E77/E70)</f>
        <v/>
      </c>
      <c r="F78" s="19">
        <f>IF(F70=0,0,F77/F70)</f>
        <v/>
      </c>
      <c r="G78" s="19">
        <f>IF(G70=0,0,G77/G70)</f>
        <v/>
      </c>
      <c r="H78" s="19">
        <f>IF(H70=0,0,H77/H70)</f>
        <v/>
      </c>
      <c r="I78" s="19">
        <f>IF(I70=0,0,I77/I70)</f>
        <v/>
      </c>
      <c r="J78" s="19">
        <f>IF(J70=0,0,J77/J70)</f>
        <v/>
      </c>
      <c r="K78" s="19">
        <f>IF(K70=0,0,K77/K70)</f>
        <v/>
      </c>
      <c r="L78" s="19">
        <f>IF(L70=0,0,L77/L70)</f>
        <v/>
      </c>
      <c r="M78" s="19">
        <f>IF(M70=0,0,M77/M70)</f>
        <v/>
      </c>
      <c r="N78" s="10" t="inlineStr">
        <is>
          <t>%</t>
        </is>
      </c>
      <c r="O78" s="10" t="inlineStr"/>
    </row>
    <row r="79">
      <c r="B79" s="7" t="inlineStr">
        <is>
          <t>Other operating income / (expense)</t>
        </is>
      </c>
      <c r="C79" s="20" t="n">
        <v>-2</v>
      </c>
      <c r="D79" s="21">
        <f>D50</f>
        <v/>
      </c>
      <c r="E79" s="21">
        <f>E50</f>
        <v/>
      </c>
      <c r="F79" s="21">
        <f>F50</f>
        <v/>
      </c>
      <c r="G79" s="21">
        <f>G50</f>
        <v/>
      </c>
      <c r="H79" s="21">
        <f>H50</f>
        <v/>
      </c>
      <c r="I79" s="21">
        <f>I50</f>
        <v/>
      </c>
      <c r="J79" s="21">
        <f>J50</f>
        <v/>
      </c>
      <c r="K79" s="21">
        <f>K50</f>
        <v/>
      </c>
      <c r="L79" s="21">
        <f>L50</f>
        <v/>
      </c>
      <c r="M79" s="21">
        <f>M50</f>
        <v/>
      </c>
      <c r="N79" s="10" t="inlineStr">
        <is>
          <t>$M</t>
        </is>
      </c>
      <c r="O79" s="10" t="inlineStr">
        <is>
          <t>Last Yr: impairments &amp; restructuring (consolidated -128.3); projection = one-time assumption row.</t>
        </is>
      </c>
    </row>
    <row r="80">
      <c r="B80" s="3" t="inlineStr">
        <is>
          <t>OPERATING INCOME</t>
        </is>
      </c>
      <c r="C80" s="26">
        <f>C73-C77+C79</f>
        <v/>
      </c>
      <c r="D80" s="26">
        <f>D73-D77+D79</f>
        <v/>
      </c>
      <c r="E80" s="26">
        <f>E73-E77+E79</f>
        <v/>
      </c>
      <c r="F80" s="26">
        <f>F73-F77+F79</f>
        <v/>
      </c>
      <c r="G80" s="26">
        <f>G73-G77+G79</f>
        <v/>
      </c>
      <c r="H80" s="26">
        <f>H73-H77+H79</f>
        <v/>
      </c>
      <c r="I80" s="26">
        <f>I73-I77+I79</f>
        <v/>
      </c>
      <c r="J80" s="26">
        <f>J73-J77+J79</f>
        <v/>
      </c>
      <c r="K80" s="26">
        <f>K73-K77+K79</f>
        <v/>
      </c>
      <c r="L80" s="26">
        <f>L73-L77+L79</f>
        <v/>
      </c>
      <c r="M80" s="26">
        <f>M73-M77+M79</f>
        <v/>
      </c>
      <c r="N80" s="10" t="inlineStr">
        <is>
          <t>$M</t>
        </is>
      </c>
      <c r="O80" s="10" t="inlineStr">
        <is>
          <t>FY2026A ties to reported segment operating income.</t>
        </is>
      </c>
    </row>
    <row r="81">
      <c r="B81" s="7" t="inlineStr">
        <is>
          <t>Operating margin %</t>
        </is>
      </c>
      <c r="C81" s="19">
        <f>IF(C70=0,0,C80/C70)</f>
        <v/>
      </c>
      <c r="D81" s="19">
        <f>IF(D70=0,0,D80/D70)</f>
        <v/>
      </c>
      <c r="E81" s="19">
        <f>IF(E70=0,0,E80/E70)</f>
        <v/>
      </c>
      <c r="F81" s="19">
        <f>IF(F70=0,0,F80/F70)</f>
        <v/>
      </c>
      <c r="G81" s="19">
        <f>IF(G70=0,0,G80/G70)</f>
        <v/>
      </c>
      <c r="H81" s="19">
        <f>IF(H70=0,0,H80/H70)</f>
        <v/>
      </c>
      <c r="I81" s="19">
        <f>IF(I70=0,0,I80/I70)</f>
        <v/>
      </c>
      <c r="J81" s="19">
        <f>IF(J70=0,0,J80/J70)</f>
        <v/>
      </c>
      <c r="K81" s="19">
        <f>IF(K70=0,0,K80/K70)</f>
        <v/>
      </c>
      <c r="L81" s="19">
        <f>IF(L70=0,0,L80/L70)</f>
        <v/>
      </c>
      <c r="M81" s="19">
        <f>IF(M70=0,0,M80/M70)</f>
        <v/>
      </c>
      <c r="N81" s="10" t="inlineStr">
        <is>
          <t>%</t>
        </is>
      </c>
      <c r="O81" s="10" t="inlineStr"/>
    </row>
    <row r="82">
      <c r="B82" s="7" t="inlineStr">
        <is>
          <t>Interest income on invested assets (yield x prior-year cash)</t>
        </is>
      </c>
      <c r="C82" s="20" t="n">
        <v>0.3</v>
      </c>
      <c r="D82" s="21">
        <f>C104*D51</f>
        <v/>
      </c>
      <c r="E82" s="21">
        <f>D104*E51</f>
        <v/>
      </c>
      <c r="F82" s="21">
        <f>E104*F51</f>
        <v/>
      </c>
      <c r="G82" s="21">
        <f>F104*G51</f>
        <v/>
      </c>
      <c r="H82" s="21">
        <f>G104*H51</f>
        <v/>
      </c>
      <c r="I82" s="21">
        <f>H104*I51</f>
        <v/>
      </c>
      <c r="J82" s="21">
        <f>I104*J51</f>
        <v/>
      </c>
      <c r="K82" s="21">
        <f>J104*K51</f>
        <v/>
      </c>
      <c r="L82" s="21">
        <f>K104*L51</f>
        <v/>
      </c>
      <c r="M82" s="21">
        <f>L104*M51</f>
        <v/>
      </c>
      <c r="N82" s="10" t="inlineStr">
        <is>
          <t>$M</t>
        </is>
      </c>
      <c r="O82" s="10" t="inlineStr">
        <is>
          <t>Last Yr = allocated share of 4.0 net interest + 1.0 other non-operating income.</t>
        </is>
      </c>
    </row>
    <row r="83">
      <c r="B83" s="7" t="inlineStr">
        <is>
          <t>Interest expense on debt (rate x prior-year debt)</t>
        </is>
      </c>
      <c r="C83" s="20" t="n">
        <v>0</v>
      </c>
      <c r="D83" s="21">
        <f>C107*D52</f>
        <v/>
      </c>
      <c r="E83" s="21">
        <f>D107*E52</f>
        <v/>
      </c>
      <c r="F83" s="21">
        <f>E107*F52</f>
        <v/>
      </c>
      <c r="G83" s="21">
        <f>F107*G52</f>
        <v/>
      </c>
      <c r="H83" s="21">
        <f>G107*H52</f>
        <v/>
      </c>
      <c r="I83" s="21">
        <f>H107*I52</f>
        <v/>
      </c>
      <c r="J83" s="21">
        <f>I107*J52</f>
        <v/>
      </c>
      <c r="K83" s="21">
        <f>J107*K52</f>
        <v/>
      </c>
      <c r="L83" s="21">
        <f>K107*L52</f>
        <v/>
      </c>
      <c r="M83" s="21">
        <f>L107*M52</f>
        <v/>
      </c>
      <c r="N83" s="10" t="inlineStr">
        <is>
          <t>$M</t>
        </is>
      </c>
      <c r="O83" s="10" t="inlineStr"/>
    </row>
    <row r="84">
      <c r="B84" s="3" t="inlineStr">
        <is>
          <t>Income before income taxes</t>
        </is>
      </c>
      <c r="C84" s="26">
        <f>C80+C82-C83</f>
        <v/>
      </c>
      <c r="D84" s="26">
        <f>D80+D82-D83</f>
        <v/>
      </c>
      <c r="E84" s="26">
        <f>E80+E82-E83</f>
        <v/>
      </c>
      <c r="F84" s="26">
        <f>F80+F82-F83</f>
        <v/>
      </c>
      <c r="G84" s="26">
        <f>G80+G82-G83</f>
        <v/>
      </c>
      <c r="H84" s="26">
        <f>H80+H82-H83</f>
        <v/>
      </c>
      <c r="I84" s="26">
        <f>I80+I82-I83</f>
        <v/>
      </c>
      <c r="J84" s="26">
        <f>J80+J82-J83</f>
        <v/>
      </c>
      <c r="K84" s="26">
        <f>K80+K82-K83</f>
        <v/>
      </c>
      <c r="L84" s="26">
        <f>L80+L82-L83</f>
        <v/>
      </c>
      <c r="M84" s="26">
        <f>M80+M82-M83</f>
        <v/>
      </c>
      <c r="N84" s="10" t="inlineStr">
        <is>
          <t>$M</t>
        </is>
      </c>
      <c r="O84" s="10" t="inlineStr"/>
    </row>
    <row r="85">
      <c r="B85" s="7" t="inlineStr">
        <is>
          <t>Pre-tax margin %</t>
        </is>
      </c>
      <c r="C85" s="19">
        <f>IF(C70=0,0,C84/C70)</f>
        <v/>
      </c>
      <c r="D85" s="19">
        <f>IF(D70=0,0,D84/D70)</f>
        <v/>
      </c>
      <c r="E85" s="19">
        <f>IF(E70=0,0,E84/E70)</f>
        <v/>
      </c>
      <c r="F85" s="19">
        <f>IF(F70=0,0,F84/F70)</f>
        <v/>
      </c>
      <c r="G85" s="19">
        <f>IF(G70=0,0,G84/G70)</f>
        <v/>
      </c>
      <c r="H85" s="19">
        <f>IF(H70=0,0,H84/H70)</f>
        <v/>
      </c>
      <c r="I85" s="19">
        <f>IF(I70=0,0,I84/I70)</f>
        <v/>
      </c>
      <c r="J85" s="19">
        <f>IF(J70=0,0,J84/J70)</f>
        <v/>
      </c>
      <c r="K85" s="19">
        <f>IF(K70=0,0,K84/K70)</f>
        <v/>
      </c>
      <c r="L85" s="19">
        <f>IF(L70=0,0,L84/L70)</f>
        <v/>
      </c>
      <c r="M85" s="19">
        <f>IF(M70=0,0,M84/M70)</f>
        <v/>
      </c>
      <c r="N85" s="10" t="inlineStr">
        <is>
          <t>%</t>
        </is>
      </c>
      <c r="O85" s="10" t="inlineStr"/>
    </row>
    <row r="86">
      <c r="B86" s="7" t="inlineStr">
        <is>
          <t>Income taxes</t>
        </is>
      </c>
      <c r="C86" s="20" t="n">
        <v>4.3</v>
      </c>
      <c r="D86" s="21">
        <f>D84*D53</f>
        <v/>
      </c>
      <c r="E86" s="21">
        <f>E84*E53</f>
        <v/>
      </c>
      <c r="F86" s="21">
        <f>F84*F53</f>
        <v/>
      </c>
      <c r="G86" s="21">
        <f>G84*G53</f>
        <v/>
      </c>
      <c r="H86" s="21">
        <f>H84*H53</f>
        <v/>
      </c>
      <c r="I86" s="21">
        <f>I84*I53</f>
        <v/>
      </c>
      <c r="J86" s="21">
        <f>J84*J53</f>
        <v/>
      </c>
      <c r="K86" s="21">
        <f>K84*K53</f>
        <v/>
      </c>
      <c r="L86" s="21">
        <f>L84*L53</f>
        <v/>
      </c>
      <c r="M86" s="21">
        <f>M84*M53</f>
        <v/>
      </c>
      <c r="N86" s="10" t="inlineStr">
        <is>
          <t>$M</t>
        </is>
      </c>
      <c r="O86" s="10" t="inlineStr">
        <is>
          <t>Last Yr = allocated share of 103.7 (26.0% effective rate).</t>
        </is>
      </c>
    </row>
    <row r="87">
      <c r="B87" s="3" t="inlineStr">
        <is>
          <t>NET INCOME</t>
        </is>
      </c>
      <c r="C87" s="26">
        <f>C84-C86</f>
        <v/>
      </c>
      <c r="D87" s="26">
        <f>D84-D86</f>
        <v/>
      </c>
      <c r="E87" s="26">
        <f>E84-E86</f>
        <v/>
      </c>
      <c r="F87" s="26">
        <f>F84-F86</f>
        <v/>
      </c>
      <c r="G87" s="26">
        <f>G84-G86</f>
        <v/>
      </c>
      <c r="H87" s="26">
        <f>H84-H86</f>
        <v/>
      </c>
      <c r="I87" s="26">
        <f>I84-I86</f>
        <v/>
      </c>
      <c r="J87" s="26">
        <f>J84-J86</f>
        <v/>
      </c>
      <c r="K87" s="26">
        <f>K84-K86</f>
        <v/>
      </c>
      <c r="L87" s="26">
        <f>L84-L86</f>
        <v/>
      </c>
      <c r="M87" s="26">
        <f>M84-M86</f>
        <v/>
      </c>
      <c r="N87" s="10" t="inlineStr">
        <is>
          <t>$M</t>
        </is>
      </c>
      <c r="O87" s="10" t="inlineStr"/>
    </row>
    <row r="88">
      <c r="B88" s="7" t="inlineStr">
        <is>
          <t>Net margin %</t>
        </is>
      </c>
      <c r="C88" s="19">
        <f>IF(C70=0,0,C87/C70)</f>
        <v/>
      </c>
      <c r="D88" s="19">
        <f>IF(D70=0,0,D87/D70)</f>
        <v/>
      </c>
      <c r="E88" s="19">
        <f>IF(E70=0,0,E87/E70)</f>
        <v/>
      </c>
      <c r="F88" s="19">
        <f>IF(F70=0,0,F87/F70)</f>
        <v/>
      </c>
      <c r="G88" s="19">
        <f>IF(G70=0,0,G87/G70)</f>
        <v/>
      </c>
      <c r="H88" s="19">
        <f>IF(H70=0,0,H87/H70)</f>
        <v/>
      </c>
      <c r="I88" s="19">
        <f>IF(I70=0,0,I87/I70)</f>
        <v/>
      </c>
      <c r="J88" s="19">
        <f>IF(J70=0,0,J87/J70)</f>
        <v/>
      </c>
      <c r="K88" s="19">
        <f>IF(K70=0,0,K87/K70)</f>
        <v/>
      </c>
      <c r="L88" s="19">
        <f>IF(L70=0,0,L87/L70)</f>
        <v/>
      </c>
      <c r="M88" s="19">
        <f>IF(M70=0,0,M87/M70)</f>
        <v/>
      </c>
      <c r="N88" s="10" t="inlineStr">
        <is>
          <t>%</t>
        </is>
      </c>
      <c r="O88" s="10" t="inlineStr"/>
    </row>
    <row r="89"/>
    <row r="90">
      <c r="A90" s="22" t="inlineStr">
        <is>
          <t>Valuation</t>
        </is>
      </c>
      <c r="B90" s="23" t="inlineStr">
        <is>
          <t>DISTRIBUTIONS &amp; VALUATION (profits-released approach)</t>
        </is>
      </c>
      <c r="C90" s="24" t="n"/>
      <c r="D90" s="24" t="n"/>
      <c r="E90" s="24" t="n"/>
      <c r="F90" s="24" t="n"/>
      <c r="G90" s="24" t="n"/>
      <c r="H90" s="24" t="n"/>
      <c r="I90" s="24" t="n"/>
      <c r="J90" s="24" t="n"/>
      <c r="K90" s="24" t="n"/>
      <c r="L90" s="24" t="n"/>
      <c r="M90" s="24" t="n"/>
      <c r="N90" s="24" t="n"/>
      <c r="O90" s="24" t="n"/>
    </row>
    <row r="91">
      <c r="B91" s="7" t="inlineStr">
        <is>
          <t>Distributions to shareholders (dividends + buybacks = net income)</t>
        </is>
      </c>
      <c r="C91" s="21">
        <f>C87</f>
        <v/>
      </c>
      <c r="D91" s="21">
        <f>D87</f>
        <v/>
      </c>
      <c r="E91" s="21">
        <f>E87</f>
        <v/>
      </c>
      <c r="F91" s="21">
        <f>F87</f>
        <v/>
      </c>
      <c r="G91" s="21">
        <f>G87</f>
        <v/>
      </c>
      <c r="H91" s="21">
        <f>H87</f>
        <v/>
      </c>
      <c r="I91" s="21">
        <f>I87</f>
        <v/>
      </c>
      <c r="J91" s="21">
        <f>J87</f>
        <v/>
      </c>
      <c r="K91" s="21">
        <f>K87</f>
        <v/>
      </c>
      <c r="L91" s="21">
        <f>L87</f>
        <v/>
      </c>
      <c r="M91" s="21">
        <f>M87</f>
        <v/>
      </c>
      <c r="N91" s="10" t="inlineStr">
        <is>
          <t>$M</t>
        </is>
      </c>
      <c r="O91" s="10" t="inlineStr">
        <is>
          <t>Profits released: 100% of net income distributed (dividends + buybacks).</t>
        </is>
      </c>
    </row>
    <row r="92">
      <c r="B92" s="7" t="inlineStr">
        <is>
          <t>Earnings retained in equity</t>
        </is>
      </c>
      <c r="C92" s="21">
        <f>C87-C91</f>
        <v/>
      </c>
      <c r="D92" s="21">
        <f>D87-D91</f>
        <v/>
      </c>
      <c r="E92" s="21">
        <f>E87-E91</f>
        <v/>
      </c>
      <c r="F92" s="21">
        <f>F87-F91</f>
        <v/>
      </c>
      <c r="G92" s="21">
        <f>G87-G91</f>
        <v/>
      </c>
      <c r="H92" s="21">
        <f>H87-H91</f>
        <v/>
      </c>
      <c r="I92" s="21">
        <f>I87-I91</f>
        <v/>
      </c>
      <c r="J92" s="21">
        <f>J87-J91</f>
        <v/>
      </c>
      <c r="K92" s="21">
        <f>K87-K91</f>
        <v/>
      </c>
      <c r="L92" s="21">
        <f>L87-L91</f>
        <v/>
      </c>
      <c r="M92" s="21">
        <f>M87-M91</f>
        <v/>
      </c>
      <c r="N92" s="10" t="inlineStr">
        <is>
          <t>$M</t>
        </is>
      </c>
      <c r="O92" s="10" t="inlineStr">
        <is>
          <t>Zero under profits released; would be positive under profits retained.</t>
        </is>
      </c>
    </row>
    <row r="93">
      <c r="B93" s="7" t="inlineStr">
        <is>
          <t>Distributable cash flow to shareholders (discounted below)</t>
        </is>
      </c>
      <c r="D93" s="21">
        <f>D91</f>
        <v/>
      </c>
      <c r="E93" s="21">
        <f>E91</f>
        <v/>
      </c>
      <c r="F93" s="21">
        <f>F91</f>
        <v/>
      </c>
      <c r="G93" s="21">
        <f>G91</f>
        <v/>
      </c>
      <c r="H93" s="21">
        <f>H91</f>
        <v/>
      </c>
      <c r="I93" s="21">
        <f>I91</f>
        <v/>
      </c>
      <c r="J93" s="21">
        <f>J91</f>
        <v/>
      </c>
      <c r="K93" s="21">
        <f>K91</f>
        <v/>
      </c>
      <c r="L93" s="21">
        <f>L91</f>
        <v/>
      </c>
      <c r="M93" s="21">
        <f>M91</f>
        <v/>
      </c>
      <c r="N93" s="10" t="inlineStr">
        <is>
          <t>$M</t>
        </is>
      </c>
      <c r="O93" s="10" t="inlineStr"/>
    </row>
    <row r="94">
      <c r="B94" s="7" t="inlineStr">
        <is>
          <t>Discount rate used (from scenario block)</t>
        </is>
      </c>
      <c r="C94" s="19">
        <f>D54</f>
        <v/>
      </c>
      <c r="N94" s="10" t="inlineStr">
        <is>
          <t>%</t>
        </is>
      </c>
      <c r="O94" s="10" t="inlineStr">
        <is>
          <t>Reads the scenario-run discount rate so a discount-rate shock flows through.</t>
        </is>
      </c>
    </row>
    <row r="95">
      <c r="B95" s="7" t="inlineStr">
        <is>
          <t>Terminal value = shareholders' equity at end of FY2036</t>
        </is>
      </c>
      <c r="C95" s="21">
        <f>M110</f>
        <v/>
      </c>
      <c r="N95" s="10" t="inlineStr">
        <is>
          <t>$M</t>
        </is>
      </c>
      <c r="O95" s="10" t="inlineStr"/>
    </row>
    <row r="96">
      <c r="B96" s="7" t="inlineStr">
        <is>
          <t>PV of FY2027-FY2036 distributable cash flows</t>
        </is>
      </c>
      <c r="C96" s="21">
        <f>NPV(C94,D93:M93)</f>
        <v/>
      </c>
      <c r="N96" s="10" t="inlineStr">
        <is>
          <t>$M</t>
        </is>
      </c>
      <c r="O96" s="10" t="inlineStr">
        <is>
          <t>NPV over the 10 model years (end-of-year cash flows).</t>
        </is>
      </c>
    </row>
    <row r="97">
      <c r="B97" s="7" t="inlineStr">
        <is>
          <t>PV of terminal value</t>
        </is>
      </c>
      <c r="C97" s="21">
        <f>C95/(1+C94)^10</f>
        <v/>
      </c>
      <c r="N97" s="10" t="inlineStr">
        <is>
          <t>$M</t>
        </is>
      </c>
      <c r="O97" s="10" t="inlineStr">
        <is>
          <t>Terminal equity discounted 10 years.</t>
        </is>
      </c>
    </row>
    <row r="98">
      <c r="B98" s="3" t="inlineStr">
        <is>
          <t>SEGMENT VALUE - BASELINE (snapshot, hard-coded for 3(d) comparison)</t>
        </is>
      </c>
      <c r="C98" s="27" t="n">
        <v>107.66</v>
      </c>
      <c r="N98" s="10" t="inlineStr">
        <is>
          <t>$M</t>
        </is>
      </c>
      <c r="O98" s="10" t="inlineStr">
        <is>
          <t>Hard-coded copy of the live value (blue). In 3(d), shocks move the SCENARIO value; this stays fixed.</t>
        </is>
      </c>
    </row>
    <row r="99">
      <c r="B99" s="3" t="inlineStr">
        <is>
          <t>SEGMENT VALUE - SCENARIO RUN (live formula)</t>
        </is>
      </c>
      <c r="C99" s="26">
        <f>C96+C97</f>
        <v/>
      </c>
      <c r="N99" s="10" t="inlineStr">
        <is>
          <t>$M</t>
        </is>
      </c>
      <c r="O99" s="10" t="inlineStr">
        <is>
          <t>PV of distributable cash flows + PV of terminal equity.</t>
        </is>
      </c>
    </row>
    <row r="100">
      <c r="B100" s="7" t="inlineStr">
        <is>
          <t>% change vs baseline</t>
        </is>
      </c>
      <c r="C100" s="19">
        <f>IF(C98=0,0,C99/C98-1)</f>
        <v/>
      </c>
      <c r="N100" s="10" t="inlineStr">
        <is>
          <t>%</t>
        </is>
      </c>
      <c r="O100" s="10" t="inlineStr"/>
    </row>
    <row r="101">
      <c r="B101" s="7" t="inlineStr">
        <is>
          <t>$ change vs baseline</t>
        </is>
      </c>
      <c r="C101" s="21">
        <f>C99-C98</f>
        <v/>
      </c>
      <c r="N101" s="10" t="inlineStr">
        <is>
          <t>$M</t>
        </is>
      </c>
      <c r="O101" s="10" t="inlineStr"/>
    </row>
    <row r="102"/>
    <row r="103">
      <c r="A103" s="22" t="inlineStr">
        <is>
          <t>Balance sheet</t>
        </is>
      </c>
      <c r="B103" s="23" t="inlineStr">
        <is>
          <t>BALANCE SHEET (simplified, cash basis, year-end)</t>
        </is>
      </c>
      <c r="C103" s="24" t="n"/>
      <c r="D103" s="24" t="n"/>
      <c r="E103" s="24" t="n"/>
      <c r="F103" s="24" t="n"/>
      <c r="G103" s="24" t="n"/>
      <c r="H103" s="24" t="n"/>
      <c r="I103" s="24" t="n"/>
      <c r="J103" s="24" t="n"/>
      <c r="K103" s="24" t="n"/>
      <c r="L103" s="24" t="n"/>
      <c r="M103" s="24" t="n"/>
      <c r="N103" s="24" t="n"/>
      <c r="O103" s="24" t="n"/>
    </row>
    <row r="104">
      <c r="B104" s="7" t="inlineStr">
        <is>
          <t>Invested assets (cash &amp; cash equivalents)</t>
        </is>
      </c>
      <c r="C104" s="20" t="n">
        <v>52.7</v>
      </c>
      <c r="D104" s="21">
        <f>C104+D92</f>
        <v/>
      </c>
      <c r="E104" s="21">
        <f>D104+E92</f>
        <v/>
      </c>
      <c r="F104" s="21">
        <f>E104+F92</f>
        <v/>
      </c>
      <c r="G104" s="21">
        <f>F104+G92</f>
        <v/>
      </c>
      <c r="H104" s="21">
        <f>G104+H92</f>
        <v/>
      </c>
      <c r="I104" s="21">
        <f>H104+I92</f>
        <v/>
      </c>
      <c r="J104" s="21">
        <f>I104+J92</f>
        <v/>
      </c>
      <c r="K104" s="21">
        <f>J104+K92</f>
        <v/>
      </c>
      <c r="L104" s="21">
        <f>K104+L92</f>
        <v/>
      </c>
      <c r="M104" s="21">
        <f>L104+M92</f>
        <v/>
      </c>
      <c r="N104" s="10" t="inlineStr">
        <is>
          <t>$M</t>
        </is>
      </c>
      <c r="O104" s="10" t="inlineStr">
        <is>
          <t>Static under profits released (grows only by retained earnings).</t>
        </is>
      </c>
    </row>
    <row r="105">
      <c r="B105" s="7" t="inlineStr">
        <is>
          <t>Inventory and other non-depreciating operating assets</t>
        </is>
      </c>
      <c r="C105" s="20" t="n">
        <v>116.9</v>
      </c>
      <c r="D105" s="21">
        <f>C105</f>
        <v/>
      </c>
      <c r="E105" s="21">
        <f>D105</f>
        <v/>
      </c>
      <c r="F105" s="21">
        <f>E105</f>
        <v/>
      </c>
      <c r="G105" s="21">
        <f>F105</f>
        <v/>
      </c>
      <c r="H105" s="21">
        <f>G105</f>
        <v/>
      </c>
      <c r="I105" s="21">
        <f>H105</f>
        <v/>
      </c>
      <c r="J105" s="21">
        <f>I105</f>
        <v/>
      </c>
      <c r="K105" s="21">
        <f>J105</f>
        <v/>
      </c>
      <c r="L105" s="21">
        <f>K105</f>
        <v/>
      </c>
      <c r="M105" s="21">
        <f>L105</f>
        <v/>
      </c>
      <c r="N105" s="10" t="inlineStr">
        <is>
          <t>$M</t>
        </is>
      </c>
      <c r="O105" s="10" t="inlineStr">
        <is>
          <t>Non-depreciating operating asset held flat (no working-capital build modelled).</t>
        </is>
      </c>
    </row>
    <row r="106">
      <c r="B106" s="3" t="inlineStr">
        <is>
          <t>Total assets</t>
        </is>
      </c>
      <c r="C106" s="26">
        <f>C104+C105</f>
        <v/>
      </c>
      <c r="D106" s="26">
        <f>D104+D105</f>
        <v/>
      </c>
      <c r="E106" s="26">
        <f>E104+E105</f>
        <v/>
      </c>
      <c r="F106" s="26">
        <f>F104+F105</f>
        <v/>
      </c>
      <c r="G106" s="26">
        <f>G104+G105</f>
        <v/>
      </c>
      <c r="H106" s="26">
        <f>H104+H105</f>
        <v/>
      </c>
      <c r="I106" s="26">
        <f>I104+I105</f>
        <v/>
      </c>
      <c r="J106" s="26">
        <f>J104+J105</f>
        <v/>
      </c>
      <c r="K106" s="26">
        <f>K104+K105</f>
        <v/>
      </c>
      <c r="L106" s="26">
        <f>L104+L105</f>
        <v/>
      </c>
      <c r="M106" s="26">
        <f>M104+M105</f>
        <v/>
      </c>
      <c r="N106" s="10" t="inlineStr">
        <is>
          <t>$M</t>
        </is>
      </c>
      <c r="O106" s="10" t="inlineStr"/>
    </row>
    <row r="107">
      <c r="B107" s="7" t="inlineStr">
        <is>
          <t>Debt</t>
        </is>
      </c>
      <c r="C107" s="20" t="n">
        <v>0</v>
      </c>
      <c r="D107" s="21">
        <f>C107</f>
        <v/>
      </c>
      <c r="E107" s="21">
        <f>D107</f>
        <v/>
      </c>
      <c r="F107" s="21">
        <f>E107</f>
        <v/>
      </c>
      <c r="G107" s="21">
        <f>F107</f>
        <v/>
      </c>
      <c r="H107" s="21">
        <f>G107</f>
        <v/>
      </c>
      <c r="I107" s="21">
        <f>H107</f>
        <v/>
      </c>
      <c r="J107" s="21">
        <f>I107</f>
        <v/>
      </c>
      <c r="K107" s="21">
        <f>J107</f>
        <v/>
      </c>
      <c r="L107" s="21">
        <f>K107</f>
        <v/>
      </c>
      <c r="M107" s="21">
        <f>L107</f>
        <v/>
      </c>
      <c r="N107" s="10" t="inlineStr">
        <is>
          <t>$M</t>
        </is>
      </c>
      <c r="O107" s="10" t="inlineStr"/>
    </row>
    <row r="108">
      <c r="B108" s="7" t="inlineStr">
        <is>
          <t>Other liabilities, net (calibrated to reported equity)</t>
        </is>
      </c>
      <c r="C108" s="20" t="n">
        <v>51.1</v>
      </c>
      <c r="D108" s="21">
        <f>C108</f>
        <v/>
      </c>
      <c r="E108" s="21">
        <f>D108</f>
        <v/>
      </c>
      <c r="F108" s="21">
        <f>E108</f>
        <v/>
      </c>
      <c r="G108" s="21">
        <f>F108</f>
        <v/>
      </c>
      <c r="H108" s="21">
        <f>G108</f>
        <v/>
      </c>
      <c r="I108" s="21">
        <f>H108</f>
        <v/>
      </c>
      <c r="J108" s="21">
        <f>I108</f>
        <v/>
      </c>
      <c r="K108" s="21">
        <f>J108</f>
        <v/>
      </c>
      <c r="L108" s="21">
        <f>K108</f>
        <v/>
      </c>
      <c r="M108" s="21">
        <f>L108</f>
        <v/>
      </c>
      <c r="N108" s="10" t="inlineStr">
        <is>
          <t>$M</t>
        </is>
      </c>
      <c r="O108" s="10" t="inlineStr">
        <is>
          <t>Plug so that FY2026A simplified equity = reported shareholders' equity 1,966.2.</t>
        </is>
      </c>
    </row>
    <row r="109">
      <c r="B109" s="3" t="inlineStr">
        <is>
          <t>Total liabilities</t>
        </is>
      </c>
      <c r="C109" s="26">
        <f>C107+C108</f>
        <v/>
      </c>
      <c r="D109" s="26">
        <f>D107+D108</f>
        <v/>
      </c>
      <c r="E109" s="26">
        <f>E107+E108</f>
        <v/>
      </c>
      <c r="F109" s="26">
        <f>F107+F108</f>
        <v/>
      </c>
      <c r="G109" s="26">
        <f>G107+G108</f>
        <v/>
      </c>
      <c r="H109" s="26">
        <f>H107+H108</f>
        <v/>
      </c>
      <c r="I109" s="26">
        <f>I107+I108</f>
        <v/>
      </c>
      <c r="J109" s="26">
        <f>J107+J108</f>
        <v/>
      </c>
      <c r="K109" s="26">
        <f>K107+K108</f>
        <v/>
      </c>
      <c r="L109" s="26">
        <f>L107+L108</f>
        <v/>
      </c>
      <c r="M109" s="26">
        <f>M107+M108</f>
        <v/>
      </c>
      <c r="N109" s="10" t="inlineStr">
        <is>
          <t>$M</t>
        </is>
      </c>
      <c r="O109" s="10" t="inlineStr"/>
    </row>
    <row r="110">
      <c r="B110" s="3" t="inlineStr">
        <is>
          <t>SHAREHOLDERS' EQUITY</t>
        </is>
      </c>
      <c r="C110" s="26">
        <f>C106-C109</f>
        <v/>
      </c>
      <c r="D110" s="26">
        <f>D106-D109</f>
        <v/>
      </c>
      <c r="E110" s="26">
        <f>E106-E109</f>
        <v/>
      </c>
      <c r="F110" s="26">
        <f>F106-F109</f>
        <v/>
      </c>
      <c r="G110" s="26">
        <f>G106-G109</f>
        <v/>
      </c>
      <c r="H110" s="26">
        <f>H106-H109</f>
        <v/>
      </c>
      <c r="I110" s="26">
        <f>I106-I109</f>
        <v/>
      </c>
      <c r="J110" s="26">
        <f>J106-J109</f>
        <v/>
      </c>
      <c r="K110" s="26">
        <f>K106-K109</f>
        <v/>
      </c>
      <c r="L110" s="26">
        <f>L106-L109</f>
        <v/>
      </c>
      <c r="M110" s="26">
        <f>M106-M109</f>
        <v/>
      </c>
      <c r="N110" s="10" t="inlineStr">
        <is>
          <t>$M</t>
        </is>
      </c>
      <c r="O110" s="10" t="inlineStr">
        <is>
          <t>FY2026A total = 1,966.2 reported shareholders' equity.</t>
        </is>
      </c>
    </row>
    <row r="111">
      <c r="B111" s="7" t="inlineStr">
        <is>
          <t>Equity roll-forward check: Equity(t) - [Equity(t-1) + Net income(t) - Distributions(t)]  (= 0)</t>
        </is>
      </c>
      <c r="D111" s="21">
        <f>D110-(C110+D87-D91)</f>
        <v/>
      </c>
      <c r="E111" s="21">
        <f>E110-(D110+E87-E91)</f>
        <v/>
      </c>
      <c r="F111" s="21">
        <f>F110-(E110+F87-F91)</f>
        <v/>
      </c>
      <c r="G111" s="21">
        <f>G110-(F110+G87-G91)</f>
        <v/>
      </c>
      <c r="H111" s="21">
        <f>H110-(G110+H87-H91)</f>
        <v/>
      </c>
      <c r="I111" s="21">
        <f>I110-(H110+I87-I91)</f>
        <v/>
      </c>
      <c r="J111" s="21">
        <f>J110-(I110+J87-J91)</f>
        <v/>
      </c>
      <c r="K111" s="21">
        <f>K110-(J110+K87-K91)</f>
        <v/>
      </c>
      <c r="L111" s="21">
        <f>L110-(K110+L87-L91)</f>
        <v/>
      </c>
      <c r="M111" s="21">
        <f>M110-(L110+M87-M91)</f>
        <v/>
      </c>
      <c r="N111" s="10" t="inlineStr">
        <is>
          <t>$M</t>
        </is>
      </c>
      <c r="O111" s="10" t="inlineStr"/>
    </row>
    <row r="112">
      <c r="B112" s="7" t="inlineStr">
        <is>
          <t>Balance check: Total assets - Total liabilities - Equity  (= 0)</t>
        </is>
      </c>
      <c r="C112" s="21">
        <f>C106-C109-C110</f>
        <v/>
      </c>
      <c r="D112" s="21">
        <f>D106-D109-D110</f>
        <v/>
      </c>
      <c r="E112" s="21">
        <f>E106-E109-E110</f>
        <v/>
      </c>
      <c r="F112" s="21">
        <f>F106-F109-F110</f>
        <v/>
      </c>
      <c r="G112" s="21">
        <f>G106-G109-G110</f>
        <v/>
      </c>
      <c r="H112" s="21">
        <f>H106-H109-H110</f>
        <v/>
      </c>
      <c r="I112" s="21">
        <f>I106-I109-I110</f>
        <v/>
      </c>
      <c r="J112" s="21">
        <f>J106-J109-J110</f>
        <v/>
      </c>
      <c r="K112" s="21">
        <f>K106-K109-K110</f>
        <v/>
      </c>
      <c r="L112" s="21">
        <f>L106-L109-L110</f>
        <v/>
      </c>
      <c r="M112" s="21">
        <f>M106-M109-M110</f>
        <v/>
      </c>
      <c r="N112" s="10" t="inlineStr">
        <is>
          <t>$M</t>
        </is>
      </c>
      <c r="O112" s="10" t="inlineStr"/>
    </row>
  </sheetData>
  <pageMargins left="0.75" right="0.75" top="1" bottom="1" header="0.5" footer="0.5"/>
  <pageSetup orientation="landscape" paperSize="1" fitToHeight="0" fitToWidth="1"/>
  <headerFooter>
    <oddHeader/>
    <oddFooter>&amp;C&amp;A - Page &amp;P of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O112"/>
  <sheetViews>
    <sheetView zoomScale="90" workbookViewId="0">
      <pane xSplit="2" ySplit="3" topLeftCell="C4" activePane="bottomRight" state="frozen"/>
      <selection pane="topRight"/>
      <selection pane="bottomLeft"/>
      <selection pane="bottomRight" activeCell="A1" sqref="A1"/>
    </sheetView>
  </sheetViews>
  <sheetFormatPr baseColWidth="8" defaultRowHeight="15"/>
  <cols>
    <col width="13" customWidth="1" min="1" max="1"/>
    <col width="66" customWidth="1" min="2" max="2"/>
    <col width="17" customWidth="1" min="3" max="3"/>
    <col width="11.5" customWidth="1" min="4" max="4"/>
    <col width="11.5" customWidth="1" min="5" max="5"/>
    <col width="11.5" customWidth="1" min="6" max="6"/>
    <col width="11.5" customWidth="1" min="7" max="7"/>
    <col width="11.5" customWidth="1" min="8" max="8"/>
    <col width="11.5" customWidth="1" min="9" max="9"/>
    <col width="11.5" customWidth="1" min="10" max="10"/>
    <col width="11.5" customWidth="1" min="11" max="11"/>
    <col width="11.5" customWidth="1" min="12" max="12"/>
    <col width="11.5" customWidth="1" min="13" max="13"/>
    <col width="17" customWidth="1" min="14" max="14"/>
    <col width="60" customWidth="1" min="15" max="15"/>
  </cols>
  <sheetData>
    <row r="1">
      <c r="A1" s="1" t="inlineStr">
        <is>
          <t>Signet Jewelers - Baseline Value-Based ERM Model - Segment: Other / Corporate</t>
        </is>
      </c>
    </row>
    <row r="2">
      <c r="A2" s="10" t="inlineStr">
        <is>
          <t>'Other' reportable segment (rough-diamond purchasing and polishing subsidiaries selling to third parties) plus corporate and unallocated costs. No stores, no e-commerce, no services: those rows are kept at zero.  Units: $ millions (one decimal) unless stated; fiscal years end about January 31 (FY2026 = year ended Jan 31, 2026). Blue = hard-coded input, black = formula, green = link to another tab.</t>
        </is>
      </c>
    </row>
    <row r="3">
      <c r="A3" s="11" t="inlineStr">
        <is>
          <t>Section</t>
        </is>
      </c>
      <c r="B3" s="11" t="inlineStr">
        <is>
          <t>Line item</t>
        </is>
      </c>
      <c r="C3" s="15" t="inlineStr">
        <is>
          <t>Last Yr (FY2026A)</t>
        </is>
      </c>
      <c r="D3" s="15" t="inlineStr">
        <is>
          <t>FY2027</t>
        </is>
      </c>
      <c r="E3" s="15" t="inlineStr">
        <is>
          <t>FY2028</t>
        </is>
      </c>
      <c r="F3" s="15" t="inlineStr">
        <is>
          <t>FY2029</t>
        </is>
      </c>
      <c r="G3" s="15" t="inlineStr">
        <is>
          <t>FY2030</t>
        </is>
      </c>
      <c r="H3" s="15" t="inlineStr">
        <is>
          <t>FY2031</t>
        </is>
      </c>
      <c r="I3" s="15" t="inlineStr">
        <is>
          <t>FY2032</t>
        </is>
      </c>
      <c r="J3" s="15" t="inlineStr">
        <is>
          <t>FY2033</t>
        </is>
      </c>
      <c r="K3" s="15" t="inlineStr">
        <is>
          <t>FY2034</t>
        </is>
      </c>
      <c r="L3" s="15" t="inlineStr">
        <is>
          <t>FY2035</t>
        </is>
      </c>
      <c r="M3" s="15" t="inlineStr">
        <is>
          <t>FY2036</t>
        </is>
      </c>
      <c r="N3" s="11" t="inlineStr">
        <is>
          <t>Units</t>
        </is>
      </c>
      <c r="O3" s="11" t="inlineStr">
        <is>
          <t>Notes</t>
        </is>
      </c>
    </row>
    <row r="4"/>
    <row r="5">
      <c r="A5" s="12" t="inlineStr">
        <is>
          <t>BASELINE ASSUMPTIONS (blue = hard-coded input; black '=previous cell' carries an assumption forward)</t>
        </is>
      </c>
      <c r="B5" s="13" t="n"/>
      <c r="C5" s="13" t="n"/>
      <c r="D5" s="13" t="n"/>
      <c r="E5" s="13" t="n"/>
      <c r="F5" s="13" t="n"/>
      <c r="G5" s="13" t="n"/>
      <c r="H5" s="13" t="n"/>
      <c r="I5" s="13" t="n"/>
      <c r="J5" s="13" t="n"/>
      <c r="K5" s="13" t="n"/>
      <c r="L5" s="13" t="n"/>
      <c r="M5" s="13" t="n"/>
      <c r="N5" s="13" t="n"/>
      <c r="O5" s="13" t="n"/>
    </row>
    <row r="6">
      <c r="A6" s="10" t="inlineStr">
        <is>
          <t>Baseline</t>
        </is>
      </c>
      <c r="B6" s="7" t="inlineStr">
        <is>
          <t>Gross store openings (number of stores)</t>
        </is>
      </c>
      <c r="C6" s="16">
        <f>C59</f>
        <v/>
      </c>
      <c r="D6" s="17" t="n">
        <v>0</v>
      </c>
      <c r="E6" s="16">
        <f>D6</f>
        <v/>
      </c>
      <c r="F6" s="16">
        <f>E6</f>
        <v/>
      </c>
      <c r="G6" s="16">
        <f>F6</f>
        <v/>
      </c>
      <c r="H6" s="16">
        <f>G6</f>
        <v/>
      </c>
      <c r="I6" s="16">
        <f>H6</f>
        <v/>
      </c>
      <c r="J6" s="16">
        <f>I6</f>
        <v/>
      </c>
      <c r="K6" s="16">
        <f>J6</f>
        <v/>
      </c>
      <c r="L6" s="16">
        <f>K6</f>
        <v/>
      </c>
      <c r="M6" s="16">
        <f>L6</f>
        <v/>
      </c>
      <c r="N6" s="10" t="inlineStr">
        <is>
          <t># stores</t>
        </is>
      </c>
      <c r="O6" s="10" t="inlineStr">
        <is>
          <t>Gross openings; net of closures drives average stores.</t>
        </is>
      </c>
    </row>
    <row r="7">
      <c r="A7" s="10" t="inlineStr">
        <is>
          <t>Baseline</t>
        </is>
      </c>
      <c r="B7" s="7" t="inlineStr">
        <is>
          <t>Store closures (number of stores)</t>
        </is>
      </c>
      <c r="C7" s="16">
        <f>C60</f>
        <v/>
      </c>
      <c r="D7" s="17" t="n">
        <v>0</v>
      </c>
      <c r="E7" s="16">
        <f>D7</f>
        <v/>
      </c>
      <c r="F7" s="16">
        <f>E7</f>
        <v/>
      </c>
      <c r="G7" s="16">
        <f>F7</f>
        <v/>
      </c>
      <c r="H7" s="16">
        <f>G7</f>
        <v/>
      </c>
      <c r="I7" s="16">
        <f>H7</f>
        <v/>
      </c>
      <c r="J7" s="16">
        <f>I7</f>
        <v/>
      </c>
      <c r="K7" s="16">
        <f>J7</f>
        <v/>
      </c>
      <c r="L7" s="16">
        <f>K7</f>
        <v/>
      </c>
      <c r="M7" s="16">
        <f>L7</f>
        <v/>
      </c>
      <c r="N7" s="10" t="inlineStr">
        <is>
          <t># stores</t>
        </is>
      </c>
      <c r="O7" s="10" t="inlineStr">
        <is>
          <t>Fleet optimisation: mall closures / off-mall repositioning (net sq ft 'low-single-digit decline' guidance).</t>
        </is>
      </c>
    </row>
    <row r="8">
      <c r="A8" s="10" t="inlineStr">
        <is>
          <t>Baseline</t>
        </is>
      </c>
      <c r="B8" s="7" t="inlineStr">
        <is>
          <t>Same-store sales growth (applied to merchandise sales per average store)</t>
        </is>
      </c>
      <c r="D8" s="18" t="n">
        <v>0</v>
      </c>
      <c r="E8" s="19">
        <f>D8</f>
        <v/>
      </c>
      <c r="F8" s="19">
        <f>E8</f>
        <v/>
      </c>
      <c r="G8" s="19">
        <f>F8</f>
        <v/>
      </c>
      <c r="H8" s="19">
        <f>G8</f>
        <v/>
      </c>
      <c r="I8" s="19">
        <f>H8</f>
        <v/>
      </c>
      <c r="J8" s="19">
        <f>I8</f>
        <v/>
      </c>
      <c r="K8" s="19">
        <f>J8</f>
        <v/>
      </c>
      <c r="L8" s="19">
        <f>K8</f>
        <v/>
      </c>
      <c r="M8" s="19">
        <f>L8</f>
        <v/>
      </c>
      <c r="N8" s="10" t="inlineStr">
        <is>
          <t>% p.a.</t>
        </is>
      </c>
      <c r="O8" s="10" t="inlineStr">
        <is>
          <t>Price/mix + traffic growth applied to sales per average store.</t>
        </is>
      </c>
    </row>
    <row r="9">
      <c r="A9" s="10" t="inlineStr">
        <is>
          <t>Baseline</t>
        </is>
      </c>
      <c r="B9" s="7" t="inlineStr">
        <is>
          <t>E-commerce merchandise sales growth</t>
        </is>
      </c>
      <c r="D9" s="18" t="n">
        <v>0</v>
      </c>
      <c r="E9" s="19">
        <f>D9</f>
        <v/>
      </c>
      <c r="F9" s="19">
        <f>E9</f>
        <v/>
      </c>
      <c r="G9" s="19">
        <f>F9</f>
        <v/>
      </c>
      <c r="H9" s="19">
        <f>G9</f>
        <v/>
      </c>
      <c r="I9" s="19">
        <f>H9</f>
        <v/>
      </c>
      <c r="J9" s="19">
        <f>I9</f>
        <v/>
      </c>
      <c r="K9" s="19">
        <f>J9</f>
        <v/>
      </c>
      <c r="L9" s="19">
        <f>K9</f>
        <v/>
      </c>
      <c r="M9" s="19">
        <f>L9</f>
        <v/>
      </c>
      <c r="N9" s="10" t="inlineStr">
        <is>
          <t>% p.a.</t>
        </is>
      </c>
      <c r="O9" s="10" t="inlineStr">
        <is>
          <t>Includes digital-native brands (NA) and store-brand online sales.</t>
        </is>
      </c>
    </row>
    <row r="10">
      <c r="A10" s="10" t="inlineStr">
        <is>
          <t>Baseline</t>
        </is>
      </c>
      <c r="B10" s="7" t="inlineStr">
        <is>
          <t>Services attach rate (services revenue as % of merchandise sales)</t>
        </is>
      </c>
      <c r="C10" s="19">
        <f>IF(C66+C67=0,0,C68/(C66+C67))</f>
        <v/>
      </c>
      <c r="D10" s="18" t="n">
        <v>0</v>
      </c>
      <c r="E10" s="19">
        <f>D10</f>
        <v/>
      </c>
      <c r="F10" s="19">
        <f>E10</f>
        <v/>
      </c>
      <c r="G10" s="19">
        <f>F10</f>
        <v/>
      </c>
      <c r="H10" s="19">
        <f>G10</f>
        <v/>
      </c>
      <c r="I10" s="19">
        <f>H10</f>
        <v/>
      </c>
      <c r="J10" s="19">
        <f>I10</f>
        <v/>
      </c>
      <c r="K10" s="19">
        <f>J10</f>
        <v/>
      </c>
      <c r="L10" s="19">
        <f>K10</f>
        <v/>
      </c>
      <c r="M10" s="19">
        <f>L10</f>
        <v/>
      </c>
      <c r="N10" s="10" t="inlineStr">
        <is>
          <t>% of merch.</t>
        </is>
      </c>
      <c r="O10" s="10" t="inlineStr">
        <is>
          <t>Extended service plans, repairs, custom design.</t>
        </is>
      </c>
    </row>
    <row r="11">
      <c r="A11" s="10" t="inlineStr">
        <is>
          <t>Baseline</t>
        </is>
      </c>
      <c r="B11" s="7" t="inlineStr">
        <is>
          <t>Other (non-retail / diamond sourcing) revenue growth</t>
        </is>
      </c>
      <c r="D11" s="18" t="n">
        <v>0.02</v>
      </c>
      <c r="E11" s="19">
        <f>D11</f>
        <v/>
      </c>
      <c r="F11" s="19">
        <f>E11</f>
        <v/>
      </c>
      <c r="G11" s="19">
        <f>F11</f>
        <v/>
      </c>
      <c r="H11" s="19">
        <f>G11</f>
        <v/>
      </c>
      <c r="I11" s="19">
        <f>H11</f>
        <v/>
      </c>
      <c r="J11" s="19">
        <f>I11</f>
        <v/>
      </c>
      <c r="K11" s="19">
        <f>J11</f>
        <v/>
      </c>
      <c r="L11" s="19">
        <f>K11</f>
        <v/>
      </c>
      <c r="M11" s="19">
        <f>L11</f>
        <v/>
      </c>
      <c r="N11" s="10" t="inlineStr">
        <is>
          <t>% p.a.</t>
        </is>
      </c>
      <c r="O11" s="10" t="inlineStr">
        <is>
          <t>Only the diamond-sourcing sales in OTHER are non-zero.</t>
        </is>
      </c>
    </row>
    <row r="12">
      <c r="A12" s="10" t="inlineStr">
        <is>
          <t>Baseline</t>
        </is>
      </c>
      <c r="B12" s="7" t="inlineStr">
        <is>
          <t>Cost of sales (incl. store occupancy) as % of total sales</t>
        </is>
      </c>
      <c r="C12" s="19">
        <f>IF(C70=0,0,C72/C70)</f>
        <v/>
      </c>
      <c r="D12" s="18" t="n">
        <v>0.92</v>
      </c>
      <c r="E12" s="19">
        <f>D12</f>
        <v/>
      </c>
      <c r="F12" s="19">
        <f>E12</f>
        <v/>
      </c>
      <c r="G12" s="19">
        <f>F12</f>
        <v/>
      </c>
      <c r="H12" s="19">
        <f>G12</f>
        <v/>
      </c>
      <c r="I12" s="19">
        <f>H12</f>
        <v/>
      </c>
      <c r="J12" s="19">
        <f>I12</f>
        <v/>
      </c>
      <c r="K12" s="19">
        <f>J12</f>
        <v/>
      </c>
      <c r="L12" s="19">
        <f>K12</f>
        <v/>
      </c>
      <c r="M12" s="19">
        <f>L12</f>
        <v/>
      </c>
      <c r="N12" s="10" t="inlineStr">
        <is>
          <t>% of sales</t>
        </is>
      </c>
      <c r="O12" s="10" t="inlineStr">
        <is>
          <t>Signet books store occupancy in cost of sales; 1 - this = gross margin %.</t>
        </is>
      </c>
    </row>
    <row r="13">
      <c r="A13" s="10" t="inlineStr">
        <is>
          <t>Baseline</t>
        </is>
      </c>
      <c r="B13" s="7" t="inlineStr">
        <is>
          <t>Variable SG&amp;A (store payroll, advertising, credit) as % of total sales</t>
        </is>
      </c>
      <c r="C13" s="19">
        <f>IF(C70=0,0,C75/C70)</f>
        <v/>
      </c>
      <c r="D13" s="18" t="n">
        <v>0</v>
      </c>
      <c r="E13" s="19">
        <f>D13</f>
        <v/>
      </c>
      <c r="F13" s="19">
        <f>E13</f>
        <v/>
      </c>
      <c r="G13" s="19">
        <f>F13</f>
        <v/>
      </c>
      <c r="H13" s="19">
        <f>G13</f>
        <v/>
      </c>
      <c r="I13" s="19">
        <f>H13</f>
        <v/>
      </c>
      <c r="J13" s="19">
        <f>I13</f>
        <v/>
      </c>
      <c r="K13" s="19">
        <f>J13</f>
        <v/>
      </c>
      <c r="L13" s="19">
        <f>K13</f>
        <v/>
      </c>
      <c r="M13" s="19">
        <f>L13</f>
        <v/>
      </c>
      <c r="N13" s="10" t="inlineStr">
        <is>
          <t>% of sales</t>
        </is>
      </c>
      <c r="O13" s="10" t="inlineStr">
        <is>
          <t>Marginal expenses that move with sales.</t>
        </is>
      </c>
    </row>
    <row r="14">
      <c r="A14" s="10" t="inlineStr">
        <is>
          <t>Baseline</t>
        </is>
      </c>
      <c r="B14" s="7" t="inlineStr">
        <is>
          <t>Fixed SG&amp;A inflation (corporate, support, fixed store overhead)</t>
        </is>
      </c>
      <c r="D14" s="18" t="n">
        <v>0.025</v>
      </c>
      <c r="E14" s="18" t="n">
        <v>0.023</v>
      </c>
      <c r="F14" s="18" t="n">
        <v>0.021</v>
      </c>
      <c r="G14" s="18" t="n">
        <v>0.02</v>
      </c>
      <c r="H14" s="19">
        <f>G14</f>
        <v/>
      </c>
      <c r="I14" s="19">
        <f>H14</f>
        <v/>
      </c>
      <c r="J14" s="19">
        <f>I14</f>
        <v/>
      </c>
      <c r="K14" s="19">
        <f>J14</f>
        <v/>
      </c>
      <c r="L14" s="19">
        <f>K14</f>
        <v/>
      </c>
      <c r="M14" s="19">
        <f>L14</f>
        <v/>
      </c>
      <c r="N14" s="10" t="inlineStr">
        <is>
          <t>% p.a.</t>
        </is>
      </c>
      <c r="O14" s="10" t="inlineStr">
        <is>
          <t>Fixed expenses grow with inflation (Session 6 guidance).</t>
        </is>
      </c>
    </row>
    <row r="15">
      <c r="A15" s="10" t="inlineStr">
        <is>
          <t>Baseline</t>
        </is>
      </c>
      <c r="B15" s="7" t="inlineStr">
        <is>
          <t>Cost-savings initiatives (incremental run-rate cut to fixed SG&amp;A)</t>
        </is>
      </c>
      <c r="D15" s="20" t="n">
        <v>0</v>
      </c>
      <c r="E15" s="21">
        <f>D15</f>
        <v/>
      </c>
      <c r="F15" s="21">
        <f>E15</f>
        <v/>
      </c>
      <c r="G15" s="21">
        <f>F15</f>
        <v/>
      </c>
      <c r="H15" s="21">
        <f>G15</f>
        <v/>
      </c>
      <c r="I15" s="21">
        <f>H15</f>
        <v/>
      </c>
      <c r="J15" s="21">
        <f>I15</f>
        <v/>
      </c>
      <c r="K15" s="21">
        <f>J15</f>
        <v/>
      </c>
      <c r="L15" s="21">
        <f>K15</f>
        <v/>
      </c>
      <c r="M15" s="21">
        <f>L15</f>
        <v/>
      </c>
      <c r="N15" s="10" t="inlineStr">
        <is>
          <t>$M</t>
        </is>
      </c>
      <c r="O15" s="10" t="inlineStr">
        <is>
          <t>Zero: no quantified cost-savings programme disclosed. Row kept for shocks.</t>
        </is>
      </c>
    </row>
    <row r="16">
      <c r="A16" s="10" t="inlineStr">
        <is>
          <t>Baseline</t>
        </is>
      </c>
      <c r="B16" s="7" t="inlineStr">
        <is>
          <t>Other operating income / (expense), one-time items (+ = income)</t>
        </is>
      </c>
      <c r="C16" s="21">
        <f>C79</f>
        <v/>
      </c>
      <c r="D16" s="20" t="n">
        <v>0</v>
      </c>
      <c r="E16" s="21">
        <f>D16</f>
        <v/>
      </c>
      <c r="F16" s="21">
        <f>E16</f>
        <v/>
      </c>
      <c r="G16" s="21">
        <f>F16</f>
        <v/>
      </c>
      <c r="H16" s="21">
        <f>G16</f>
        <v/>
      </c>
      <c r="I16" s="21">
        <f>H16</f>
        <v/>
      </c>
      <c r="J16" s="21">
        <f>I16</f>
        <v/>
      </c>
      <c r="K16" s="21">
        <f>J16</f>
        <v/>
      </c>
      <c r="L16" s="21">
        <f>K16</f>
        <v/>
      </c>
      <c r="M16" s="21">
        <f>L16</f>
        <v/>
      </c>
      <c r="N16" s="10" t="inlineStr">
        <is>
          <t>$M</t>
        </is>
      </c>
      <c r="O16" s="10" t="inlineStr">
        <is>
          <t>FY2027 NA: +30 tariff refunds expected by management; impairments/restructuring assumed nil going forward.</t>
        </is>
      </c>
    </row>
    <row r="17">
      <c r="A17" s="10" t="inlineStr">
        <is>
          <t>Baseline</t>
        </is>
      </c>
      <c r="B17" s="7" t="inlineStr">
        <is>
          <t>Net yield on invested assets (cash &amp; equivalents)</t>
        </is>
      </c>
      <c r="D17" s="18" t="n">
        <v>0.007</v>
      </c>
      <c r="E17" s="19">
        <f>D17</f>
        <v/>
      </c>
      <c r="F17" s="19">
        <f>E17</f>
        <v/>
      </c>
      <c r="G17" s="19">
        <f>F17</f>
        <v/>
      </c>
      <c r="H17" s="19">
        <f>G17</f>
        <v/>
      </c>
      <c r="I17" s="19">
        <f>H17</f>
        <v/>
      </c>
      <c r="J17" s="19">
        <f>I17</f>
        <v/>
      </c>
      <c r="K17" s="19">
        <f>J17</f>
        <v/>
      </c>
      <c r="L17" s="19">
        <f>K17</f>
        <v/>
      </c>
      <c r="M17" s="19">
        <f>L17</f>
        <v/>
      </c>
      <c r="N17" s="10" t="inlineStr">
        <is>
          <t>% of prior-yr cash</t>
        </is>
      </c>
      <c r="O17" s="10" t="inlineStr">
        <is>
          <t>Calibrated: reported net interest income was only 4.0 (FY26) and 9.8 (FY25) on 600-900 of cash.</t>
        </is>
      </c>
    </row>
    <row r="18">
      <c r="A18" s="10" t="inlineStr">
        <is>
          <t>Baseline</t>
        </is>
      </c>
      <c r="B18" s="7" t="inlineStr">
        <is>
          <t>Interest rate on debt (ABL revolver; debt is zero in baseline)</t>
        </is>
      </c>
      <c r="D18" s="18" t="n">
        <v>0.065</v>
      </c>
      <c r="E18" s="19">
        <f>D18</f>
        <v/>
      </c>
      <c r="F18" s="19">
        <f>E18</f>
        <v/>
      </c>
      <c r="G18" s="19">
        <f>F18</f>
        <v/>
      </c>
      <c r="H18" s="19">
        <f>G18</f>
        <v/>
      </c>
      <c r="I18" s="19">
        <f>H18</f>
        <v/>
      </c>
      <c r="J18" s="19">
        <f>I18</f>
        <v/>
      </c>
      <c r="K18" s="19">
        <f>J18</f>
        <v/>
      </c>
      <c r="L18" s="19">
        <f>K18</f>
        <v/>
      </c>
      <c r="M18" s="19">
        <f>L18</f>
        <v/>
      </c>
      <c r="N18" s="10" t="inlineStr">
        <is>
          <t>% of prior-yr debt</t>
        </is>
      </c>
      <c r="O18" s="10" t="inlineStr">
        <is>
          <t>No funded debt at FY2026A; rate kept for interest-rate / liquidity shocks.</t>
        </is>
      </c>
    </row>
    <row r="19">
      <c r="A19" s="10" t="inlineStr">
        <is>
          <t>Baseline</t>
        </is>
      </c>
      <c r="B19" s="7" t="inlineStr">
        <is>
          <t>Effective income tax rate</t>
        </is>
      </c>
      <c r="C19" s="19">
        <f>IF(C84=0,0,C86/C84)</f>
        <v/>
      </c>
      <c r="D19" s="18" t="n">
        <v>0.24</v>
      </c>
      <c r="E19" s="19">
        <f>D19</f>
        <v/>
      </c>
      <c r="F19" s="19">
        <f>E19</f>
        <v/>
      </c>
      <c r="G19" s="19">
        <f>F19</f>
        <v/>
      </c>
      <c r="H19" s="19">
        <f>G19</f>
        <v/>
      </c>
      <c r="I19" s="19">
        <f>H19</f>
        <v/>
      </c>
      <c r="J19" s="19">
        <f>I19</f>
        <v/>
      </c>
      <c r="K19" s="19">
        <f>J19</f>
        <v/>
      </c>
      <c r="L19" s="19">
        <f>K19</f>
        <v/>
      </c>
      <c r="M19" s="19">
        <f>L19</f>
        <v/>
      </c>
      <c r="N19" s="10" t="inlineStr">
        <is>
          <t>% of pre-tax</t>
        </is>
      </c>
      <c r="O19" s="10" t="inlineStr">
        <is>
          <t>FY2027 guidance 23-25% (NA/OTHER 24%); UK statutory 25% for INTL.</t>
        </is>
      </c>
    </row>
    <row r="20">
      <c r="A20" s="10" t="inlineStr">
        <is>
          <t>Baseline</t>
        </is>
      </c>
      <c r="B20" s="7" t="inlineStr">
        <is>
          <t>Discount rate (cost of equity, CAPM) - single rate for the segment</t>
        </is>
      </c>
      <c r="D20" s="18" t="n">
        <v>0.105</v>
      </c>
      <c r="N20" s="10" t="inlineStr">
        <is>
          <t>% p.a.</t>
        </is>
      </c>
      <c r="O20" s="10" t="inlineStr">
        <is>
          <t>CAPM: 5.24% + 1.25 x 4.20% = 10.5%; INTL +1.5pp premium. Single rate in the FY2027 column (as in Pear).</t>
        </is>
      </c>
    </row>
    <row r="22">
      <c r="A22" s="12" t="inlineStr">
        <is>
          <t>SHOCK TO ASSUMPTIONS - additive shocks, all ZERO in the baseline (for use in Assignment 3(d))</t>
        </is>
      </c>
      <c r="B22" s="13" t="n"/>
      <c r="C22" s="13" t="n"/>
      <c r="D22" s="13" t="n"/>
      <c r="E22" s="13" t="n"/>
      <c r="F22" s="13" t="n"/>
      <c r="G22" s="13" t="n"/>
      <c r="H22" s="13" t="n"/>
      <c r="I22" s="13" t="n"/>
      <c r="J22" s="13" t="n"/>
      <c r="K22" s="13" t="n"/>
      <c r="L22" s="13" t="n"/>
      <c r="M22" s="13" t="n"/>
      <c r="N22" s="13" t="n"/>
      <c r="O22" s="13" t="n"/>
    </row>
    <row r="23">
      <c r="A23" s="10" t="inlineStr">
        <is>
          <t>Shock</t>
        </is>
      </c>
      <c r="B23" s="7" t="inlineStr">
        <is>
          <t>Shock: Gross store openings (number of stores)</t>
        </is>
      </c>
      <c r="D23" s="17" t="n">
        <v>0</v>
      </c>
      <c r="E23" s="17" t="n">
        <v>0</v>
      </c>
      <c r="F23" s="17" t="n">
        <v>0</v>
      </c>
      <c r="G23" s="17" t="n">
        <v>0</v>
      </c>
      <c r="H23" s="17" t="n">
        <v>0</v>
      </c>
      <c r="I23" s="17" t="n">
        <v>0</v>
      </c>
      <c r="J23" s="17" t="n">
        <v>0</v>
      </c>
      <c r="K23" s="17" t="n">
        <v>0</v>
      </c>
      <c r="L23" s="17" t="n">
        <v>0</v>
      </c>
      <c r="M23" s="17" t="n">
        <v>0</v>
      </c>
      <c r="N23" s="10" t="inlineStr">
        <is>
          <t># stores</t>
        </is>
      </c>
    </row>
    <row r="24">
      <c r="A24" s="10" t="inlineStr">
        <is>
          <t>Shock</t>
        </is>
      </c>
      <c r="B24" s="7" t="inlineStr">
        <is>
          <t>Shock: Store closures (number of stores)</t>
        </is>
      </c>
      <c r="D24" s="17" t="n">
        <v>0</v>
      </c>
      <c r="E24" s="17" t="n">
        <v>0</v>
      </c>
      <c r="F24" s="17" t="n">
        <v>0</v>
      </c>
      <c r="G24" s="17" t="n">
        <v>0</v>
      </c>
      <c r="H24" s="17" t="n">
        <v>0</v>
      </c>
      <c r="I24" s="17" t="n">
        <v>0</v>
      </c>
      <c r="J24" s="17" t="n">
        <v>0</v>
      </c>
      <c r="K24" s="17" t="n">
        <v>0</v>
      </c>
      <c r="L24" s="17" t="n">
        <v>0</v>
      </c>
      <c r="M24" s="17" t="n">
        <v>0</v>
      </c>
      <c r="N24" s="10" t="inlineStr">
        <is>
          <t># stores</t>
        </is>
      </c>
    </row>
    <row r="25">
      <c r="A25" s="10" t="inlineStr">
        <is>
          <t>Shock</t>
        </is>
      </c>
      <c r="B25" s="7" t="inlineStr">
        <is>
          <t>Shock: Same-store sales growth (applied to merchandise sales per average store)</t>
        </is>
      </c>
      <c r="D25" s="18" t="n">
        <v>0</v>
      </c>
      <c r="E25" s="18" t="n">
        <v>0</v>
      </c>
      <c r="F25" s="18" t="n">
        <v>0</v>
      </c>
      <c r="G25" s="18" t="n">
        <v>0</v>
      </c>
      <c r="H25" s="18" t="n">
        <v>0</v>
      </c>
      <c r="I25" s="18" t="n">
        <v>0</v>
      </c>
      <c r="J25" s="18" t="n">
        <v>0</v>
      </c>
      <c r="K25" s="18" t="n">
        <v>0</v>
      </c>
      <c r="L25" s="18" t="n">
        <v>0</v>
      </c>
      <c r="M25" s="18" t="n">
        <v>0</v>
      </c>
      <c r="N25" s="10" t="inlineStr">
        <is>
          <t>% p.a.</t>
        </is>
      </c>
    </row>
    <row r="26">
      <c r="A26" s="10" t="inlineStr">
        <is>
          <t>Shock</t>
        </is>
      </c>
      <c r="B26" s="7" t="inlineStr">
        <is>
          <t>Shock: E-commerce merchandise sales growth</t>
        </is>
      </c>
      <c r="D26" s="18" t="n">
        <v>0</v>
      </c>
      <c r="E26" s="18" t="n">
        <v>0</v>
      </c>
      <c r="F26" s="18" t="n">
        <v>0</v>
      </c>
      <c r="G26" s="18" t="n">
        <v>0</v>
      </c>
      <c r="H26" s="18" t="n">
        <v>0</v>
      </c>
      <c r="I26" s="18" t="n">
        <v>0</v>
      </c>
      <c r="J26" s="18" t="n">
        <v>0</v>
      </c>
      <c r="K26" s="18" t="n">
        <v>0</v>
      </c>
      <c r="L26" s="18" t="n">
        <v>0</v>
      </c>
      <c r="M26" s="18" t="n">
        <v>0</v>
      </c>
      <c r="N26" s="10" t="inlineStr">
        <is>
          <t>% p.a.</t>
        </is>
      </c>
    </row>
    <row r="27">
      <c r="A27" s="10" t="inlineStr">
        <is>
          <t>Shock</t>
        </is>
      </c>
      <c r="B27" s="7" t="inlineStr">
        <is>
          <t>Shock: Services attach rate (services revenue as % of merchandise sales)</t>
        </is>
      </c>
      <c r="D27" s="18" t="n">
        <v>0</v>
      </c>
      <c r="E27" s="18" t="n">
        <v>0</v>
      </c>
      <c r="F27" s="18" t="n">
        <v>0</v>
      </c>
      <c r="G27" s="18" t="n">
        <v>0</v>
      </c>
      <c r="H27" s="18" t="n">
        <v>0</v>
      </c>
      <c r="I27" s="18" t="n">
        <v>0</v>
      </c>
      <c r="J27" s="18" t="n">
        <v>0</v>
      </c>
      <c r="K27" s="18" t="n">
        <v>0</v>
      </c>
      <c r="L27" s="18" t="n">
        <v>0</v>
      </c>
      <c r="M27" s="18" t="n">
        <v>0</v>
      </c>
      <c r="N27" s="10" t="inlineStr">
        <is>
          <t>% of merch.</t>
        </is>
      </c>
    </row>
    <row r="28">
      <c r="A28" s="10" t="inlineStr">
        <is>
          <t>Shock</t>
        </is>
      </c>
      <c r="B28" s="7" t="inlineStr">
        <is>
          <t>Shock: Other (non-retail / diamond sourcing) revenue growth</t>
        </is>
      </c>
      <c r="D28" s="18" t="n">
        <v>0</v>
      </c>
      <c r="E28" s="18" t="n">
        <v>0</v>
      </c>
      <c r="F28" s="18" t="n">
        <v>0</v>
      </c>
      <c r="G28" s="18" t="n">
        <v>0</v>
      </c>
      <c r="H28" s="18" t="n">
        <v>0</v>
      </c>
      <c r="I28" s="18" t="n">
        <v>0</v>
      </c>
      <c r="J28" s="18" t="n">
        <v>0</v>
      </c>
      <c r="K28" s="18" t="n">
        <v>0</v>
      </c>
      <c r="L28" s="18" t="n">
        <v>0</v>
      </c>
      <c r="M28" s="18" t="n">
        <v>0</v>
      </c>
      <c r="N28" s="10" t="inlineStr">
        <is>
          <t>% p.a.</t>
        </is>
      </c>
    </row>
    <row r="29">
      <c r="A29" s="10" t="inlineStr">
        <is>
          <t>Shock</t>
        </is>
      </c>
      <c r="B29" s="7" t="inlineStr">
        <is>
          <t>Shock: Cost of sales (incl. store occupancy) as % of total sales</t>
        </is>
      </c>
      <c r="D29" s="18" t="n">
        <v>0</v>
      </c>
      <c r="E29" s="18" t="n">
        <v>0</v>
      </c>
      <c r="F29" s="18" t="n">
        <v>0</v>
      </c>
      <c r="G29" s="18" t="n">
        <v>0</v>
      </c>
      <c r="H29" s="18" t="n">
        <v>0</v>
      </c>
      <c r="I29" s="18" t="n">
        <v>0</v>
      </c>
      <c r="J29" s="18" t="n">
        <v>0</v>
      </c>
      <c r="K29" s="18" t="n">
        <v>0</v>
      </c>
      <c r="L29" s="18" t="n">
        <v>0</v>
      </c>
      <c r="M29" s="18" t="n">
        <v>0</v>
      </c>
      <c r="N29" s="10" t="inlineStr">
        <is>
          <t>% of sales</t>
        </is>
      </c>
    </row>
    <row r="30">
      <c r="A30" s="10" t="inlineStr">
        <is>
          <t>Shock</t>
        </is>
      </c>
      <c r="B30" s="7" t="inlineStr">
        <is>
          <t>Shock: Variable SG&amp;A (store payroll, advertising, credit) as % of total sales</t>
        </is>
      </c>
      <c r="D30" s="18" t="n">
        <v>0</v>
      </c>
      <c r="E30" s="18" t="n">
        <v>0</v>
      </c>
      <c r="F30" s="18" t="n">
        <v>0</v>
      </c>
      <c r="G30" s="18" t="n">
        <v>0</v>
      </c>
      <c r="H30" s="18" t="n">
        <v>0</v>
      </c>
      <c r="I30" s="18" t="n">
        <v>0</v>
      </c>
      <c r="J30" s="18" t="n">
        <v>0</v>
      </c>
      <c r="K30" s="18" t="n">
        <v>0</v>
      </c>
      <c r="L30" s="18" t="n">
        <v>0</v>
      </c>
      <c r="M30" s="18" t="n">
        <v>0</v>
      </c>
      <c r="N30" s="10" t="inlineStr">
        <is>
          <t>% of sales</t>
        </is>
      </c>
    </row>
    <row r="31">
      <c r="A31" s="10" t="inlineStr">
        <is>
          <t>Shock</t>
        </is>
      </c>
      <c r="B31" s="7" t="inlineStr">
        <is>
          <t>Shock: Fixed SG&amp;A inflation (corporate, support, fixed store overhead)</t>
        </is>
      </c>
      <c r="D31" s="18" t="n">
        <v>0</v>
      </c>
      <c r="E31" s="18" t="n">
        <v>0</v>
      </c>
      <c r="F31" s="18" t="n">
        <v>0</v>
      </c>
      <c r="G31" s="18" t="n">
        <v>0</v>
      </c>
      <c r="H31" s="18" t="n">
        <v>0</v>
      </c>
      <c r="I31" s="18" t="n">
        <v>0</v>
      </c>
      <c r="J31" s="18" t="n">
        <v>0</v>
      </c>
      <c r="K31" s="18" t="n">
        <v>0</v>
      </c>
      <c r="L31" s="18" t="n">
        <v>0</v>
      </c>
      <c r="M31" s="18" t="n">
        <v>0</v>
      </c>
      <c r="N31" s="10" t="inlineStr">
        <is>
          <t>% p.a.</t>
        </is>
      </c>
    </row>
    <row r="32">
      <c r="A32" s="10" t="inlineStr">
        <is>
          <t>Shock</t>
        </is>
      </c>
      <c r="B32" s="7" t="inlineStr">
        <is>
          <t>Shock: Cost-savings initiatives (incremental run-rate cut to fixed SG&amp;A)</t>
        </is>
      </c>
      <c r="D32" s="20" t="n">
        <v>0</v>
      </c>
      <c r="E32" s="20" t="n">
        <v>0</v>
      </c>
      <c r="F32" s="20" t="n">
        <v>0</v>
      </c>
      <c r="G32" s="20" t="n">
        <v>0</v>
      </c>
      <c r="H32" s="20" t="n">
        <v>0</v>
      </c>
      <c r="I32" s="20" t="n">
        <v>0</v>
      </c>
      <c r="J32" s="20" t="n">
        <v>0</v>
      </c>
      <c r="K32" s="20" t="n">
        <v>0</v>
      </c>
      <c r="L32" s="20" t="n">
        <v>0</v>
      </c>
      <c r="M32" s="20" t="n">
        <v>0</v>
      </c>
      <c r="N32" s="10" t="inlineStr">
        <is>
          <t>$M</t>
        </is>
      </c>
    </row>
    <row r="33">
      <c r="A33" s="10" t="inlineStr">
        <is>
          <t>Shock</t>
        </is>
      </c>
      <c r="B33" s="7" t="inlineStr">
        <is>
          <t>Shock: Other operating income / (expense), one-time items (+ = income)</t>
        </is>
      </c>
      <c r="D33" s="20" t="n">
        <v>0</v>
      </c>
      <c r="E33" s="20" t="n">
        <v>0</v>
      </c>
      <c r="F33" s="20" t="n">
        <v>0</v>
      </c>
      <c r="G33" s="20" t="n">
        <v>0</v>
      </c>
      <c r="H33" s="20" t="n">
        <v>0</v>
      </c>
      <c r="I33" s="20" t="n">
        <v>0</v>
      </c>
      <c r="J33" s="20" t="n">
        <v>0</v>
      </c>
      <c r="K33" s="20" t="n">
        <v>0</v>
      </c>
      <c r="L33" s="20" t="n">
        <v>0</v>
      </c>
      <c r="M33" s="20" t="n">
        <v>0</v>
      </c>
      <c r="N33" s="10" t="inlineStr">
        <is>
          <t>$M</t>
        </is>
      </c>
    </row>
    <row r="34">
      <c r="A34" s="10" t="inlineStr">
        <is>
          <t>Shock</t>
        </is>
      </c>
      <c r="B34" s="7" t="inlineStr">
        <is>
          <t>Shock: Net yield on invested assets (cash &amp; equivalents)</t>
        </is>
      </c>
      <c r="D34" s="18" t="n">
        <v>0</v>
      </c>
      <c r="E34" s="18" t="n">
        <v>0</v>
      </c>
      <c r="F34" s="18" t="n">
        <v>0</v>
      </c>
      <c r="G34" s="18" t="n">
        <v>0</v>
      </c>
      <c r="H34" s="18" t="n">
        <v>0</v>
      </c>
      <c r="I34" s="18" t="n">
        <v>0</v>
      </c>
      <c r="J34" s="18" t="n">
        <v>0</v>
      </c>
      <c r="K34" s="18" t="n">
        <v>0</v>
      </c>
      <c r="L34" s="18" t="n">
        <v>0</v>
      </c>
      <c r="M34" s="18" t="n">
        <v>0</v>
      </c>
      <c r="N34" s="10" t="inlineStr">
        <is>
          <t>% of prior-yr cash</t>
        </is>
      </c>
    </row>
    <row r="35">
      <c r="A35" s="10" t="inlineStr">
        <is>
          <t>Shock</t>
        </is>
      </c>
      <c r="B35" s="7" t="inlineStr">
        <is>
          <t>Shock: Interest rate on debt (ABL revolver; debt is zero in baseline)</t>
        </is>
      </c>
      <c r="D35" s="18" t="n">
        <v>0</v>
      </c>
      <c r="E35" s="18" t="n">
        <v>0</v>
      </c>
      <c r="F35" s="18" t="n">
        <v>0</v>
      </c>
      <c r="G35" s="18" t="n">
        <v>0</v>
      </c>
      <c r="H35" s="18" t="n">
        <v>0</v>
      </c>
      <c r="I35" s="18" t="n">
        <v>0</v>
      </c>
      <c r="J35" s="18" t="n">
        <v>0</v>
      </c>
      <c r="K35" s="18" t="n">
        <v>0</v>
      </c>
      <c r="L35" s="18" t="n">
        <v>0</v>
      </c>
      <c r="M35" s="18" t="n">
        <v>0</v>
      </c>
      <c r="N35" s="10" t="inlineStr">
        <is>
          <t>% of prior-yr debt</t>
        </is>
      </c>
    </row>
    <row r="36">
      <c r="A36" s="10" t="inlineStr">
        <is>
          <t>Shock</t>
        </is>
      </c>
      <c r="B36" s="7" t="inlineStr">
        <is>
          <t>Shock: Effective income tax rate</t>
        </is>
      </c>
      <c r="D36" s="18" t="n">
        <v>0</v>
      </c>
      <c r="E36" s="18" t="n">
        <v>0</v>
      </c>
      <c r="F36" s="18" t="n">
        <v>0</v>
      </c>
      <c r="G36" s="18" t="n">
        <v>0</v>
      </c>
      <c r="H36" s="18" t="n">
        <v>0</v>
      </c>
      <c r="I36" s="18" t="n">
        <v>0</v>
      </c>
      <c r="J36" s="18" t="n">
        <v>0</v>
      </c>
      <c r="K36" s="18" t="n">
        <v>0</v>
      </c>
      <c r="L36" s="18" t="n">
        <v>0</v>
      </c>
      <c r="M36" s="18" t="n">
        <v>0</v>
      </c>
      <c r="N36" s="10" t="inlineStr">
        <is>
          <t>% of pre-tax</t>
        </is>
      </c>
    </row>
    <row r="37">
      <c r="A37" s="10" t="inlineStr">
        <is>
          <t>Shock</t>
        </is>
      </c>
      <c r="B37" s="7" t="inlineStr">
        <is>
          <t>Shock: Discount rate (cost of equity, CAPM) - single rate for the segment</t>
        </is>
      </c>
      <c r="D37" s="18" t="n">
        <v>0</v>
      </c>
      <c r="N37" s="10" t="inlineStr">
        <is>
          <t>% p.a.</t>
        </is>
      </c>
    </row>
    <row r="39">
      <c r="A39" s="12" t="inlineStr">
        <is>
          <t>ASSUMPTIONS FOR SCENARIO RUN  (every cell = baseline + shock; the projection reads ONLY this block)</t>
        </is>
      </c>
      <c r="B39" s="13" t="n"/>
      <c r="C39" s="13" t="n"/>
      <c r="D39" s="13" t="n"/>
      <c r="E39" s="13" t="n"/>
      <c r="F39" s="13" t="n"/>
      <c r="G39" s="13" t="n"/>
      <c r="H39" s="13" t="n"/>
      <c r="I39" s="13" t="n"/>
      <c r="J39" s="13" t="n"/>
      <c r="K39" s="13" t="n"/>
      <c r="L39" s="13" t="n"/>
      <c r="M39" s="13" t="n"/>
      <c r="N39" s="13" t="n"/>
      <c r="O39" s="13" t="n"/>
    </row>
    <row r="40">
      <c r="A40" s="10" t="inlineStr">
        <is>
          <t>Scenario</t>
        </is>
      </c>
      <c r="B40" s="7" t="inlineStr">
        <is>
          <t>Scenario: Gross store openings (number of stores)</t>
        </is>
      </c>
      <c r="D40" s="16">
        <f>D6+D23</f>
        <v/>
      </c>
      <c r="E40" s="16">
        <f>E6+E23</f>
        <v/>
      </c>
      <c r="F40" s="16">
        <f>F6+F23</f>
        <v/>
      </c>
      <c r="G40" s="16">
        <f>G6+G23</f>
        <v/>
      </c>
      <c r="H40" s="16">
        <f>H6+H23</f>
        <v/>
      </c>
      <c r="I40" s="16">
        <f>I6+I23</f>
        <v/>
      </c>
      <c r="J40" s="16">
        <f>J6+J23</f>
        <v/>
      </c>
      <c r="K40" s="16">
        <f>K6+K23</f>
        <v/>
      </c>
      <c r="L40" s="16">
        <f>L6+L23</f>
        <v/>
      </c>
      <c r="M40" s="16">
        <f>M6+M23</f>
        <v/>
      </c>
      <c r="N40" s="10" t="inlineStr">
        <is>
          <t># stores</t>
        </is>
      </c>
    </row>
    <row r="41">
      <c r="A41" s="10" t="inlineStr">
        <is>
          <t>Scenario</t>
        </is>
      </c>
      <c r="B41" s="7" t="inlineStr">
        <is>
          <t>Scenario: Store closures (number of stores)</t>
        </is>
      </c>
      <c r="D41" s="16">
        <f>D7+D24</f>
        <v/>
      </c>
      <c r="E41" s="16">
        <f>E7+E24</f>
        <v/>
      </c>
      <c r="F41" s="16">
        <f>F7+F24</f>
        <v/>
      </c>
      <c r="G41" s="16">
        <f>G7+G24</f>
        <v/>
      </c>
      <c r="H41" s="16">
        <f>H7+H24</f>
        <v/>
      </c>
      <c r="I41" s="16">
        <f>I7+I24</f>
        <v/>
      </c>
      <c r="J41" s="16">
        <f>J7+J24</f>
        <v/>
      </c>
      <c r="K41" s="16">
        <f>K7+K24</f>
        <v/>
      </c>
      <c r="L41" s="16">
        <f>L7+L24</f>
        <v/>
      </c>
      <c r="M41" s="16">
        <f>M7+M24</f>
        <v/>
      </c>
      <c r="N41" s="10" t="inlineStr">
        <is>
          <t># stores</t>
        </is>
      </c>
    </row>
    <row r="42">
      <c r="A42" s="10" t="inlineStr">
        <is>
          <t>Scenario</t>
        </is>
      </c>
      <c r="B42" s="7" t="inlineStr">
        <is>
          <t>Scenario: Same-store sales growth (applied to merchandise sales per average store)</t>
        </is>
      </c>
      <c r="D42" s="19">
        <f>D8+D25</f>
        <v/>
      </c>
      <c r="E42" s="19">
        <f>E8+E25</f>
        <v/>
      </c>
      <c r="F42" s="19">
        <f>F8+F25</f>
        <v/>
      </c>
      <c r="G42" s="19">
        <f>G8+G25</f>
        <v/>
      </c>
      <c r="H42" s="19">
        <f>H8+H25</f>
        <v/>
      </c>
      <c r="I42" s="19">
        <f>I8+I25</f>
        <v/>
      </c>
      <c r="J42" s="19">
        <f>J8+J25</f>
        <v/>
      </c>
      <c r="K42" s="19">
        <f>K8+K25</f>
        <v/>
      </c>
      <c r="L42" s="19">
        <f>L8+L25</f>
        <v/>
      </c>
      <c r="M42" s="19">
        <f>M8+M25</f>
        <v/>
      </c>
      <c r="N42" s="10" t="inlineStr">
        <is>
          <t>% p.a.</t>
        </is>
      </c>
    </row>
    <row r="43">
      <c r="A43" s="10" t="inlineStr">
        <is>
          <t>Scenario</t>
        </is>
      </c>
      <c r="B43" s="7" t="inlineStr">
        <is>
          <t>Scenario: E-commerce merchandise sales growth</t>
        </is>
      </c>
      <c r="D43" s="19">
        <f>D9+D26</f>
        <v/>
      </c>
      <c r="E43" s="19">
        <f>E9+E26</f>
        <v/>
      </c>
      <c r="F43" s="19">
        <f>F9+F26</f>
        <v/>
      </c>
      <c r="G43" s="19">
        <f>G9+G26</f>
        <v/>
      </c>
      <c r="H43" s="19">
        <f>H9+H26</f>
        <v/>
      </c>
      <c r="I43" s="19">
        <f>I9+I26</f>
        <v/>
      </c>
      <c r="J43" s="19">
        <f>J9+J26</f>
        <v/>
      </c>
      <c r="K43" s="19">
        <f>K9+K26</f>
        <v/>
      </c>
      <c r="L43" s="19">
        <f>L9+L26</f>
        <v/>
      </c>
      <c r="M43" s="19">
        <f>M9+M26</f>
        <v/>
      </c>
      <c r="N43" s="10" t="inlineStr">
        <is>
          <t>% p.a.</t>
        </is>
      </c>
    </row>
    <row r="44">
      <c r="A44" s="10" t="inlineStr">
        <is>
          <t>Scenario</t>
        </is>
      </c>
      <c r="B44" s="7" t="inlineStr">
        <is>
          <t>Scenario: Services attach rate (services revenue as % of merchandise sales)</t>
        </is>
      </c>
      <c r="D44" s="19">
        <f>D10+D27</f>
        <v/>
      </c>
      <c r="E44" s="19">
        <f>E10+E27</f>
        <v/>
      </c>
      <c r="F44" s="19">
        <f>F10+F27</f>
        <v/>
      </c>
      <c r="G44" s="19">
        <f>G10+G27</f>
        <v/>
      </c>
      <c r="H44" s="19">
        <f>H10+H27</f>
        <v/>
      </c>
      <c r="I44" s="19">
        <f>I10+I27</f>
        <v/>
      </c>
      <c r="J44" s="19">
        <f>J10+J27</f>
        <v/>
      </c>
      <c r="K44" s="19">
        <f>K10+K27</f>
        <v/>
      </c>
      <c r="L44" s="19">
        <f>L10+L27</f>
        <v/>
      </c>
      <c r="M44" s="19">
        <f>M10+M27</f>
        <v/>
      </c>
      <c r="N44" s="10" t="inlineStr">
        <is>
          <t>% of merch.</t>
        </is>
      </c>
    </row>
    <row r="45">
      <c r="A45" s="10" t="inlineStr">
        <is>
          <t>Scenario</t>
        </is>
      </c>
      <c r="B45" s="7" t="inlineStr">
        <is>
          <t>Scenario: Other (non-retail / diamond sourcing) revenue growth</t>
        </is>
      </c>
      <c r="D45" s="19">
        <f>D11+D28</f>
        <v/>
      </c>
      <c r="E45" s="19">
        <f>E11+E28</f>
        <v/>
      </c>
      <c r="F45" s="19">
        <f>F11+F28</f>
        <v/>
      </c>
      <c r="G45" s="19">
        <f>G11+G28</f>
        <v/>
      </c>
      <c r="H45" s="19">
        <f>H11+H28</f>
        <v/>
      </c>
      <c r="I45" s="19">
        <f>I11+I28</f>
        <v/>
      </c>
      <c r="J45" s="19">
        <f>J11+J28</f>
        <v/>
      </c>
      <c r="K45" s="19">
        <f>K11+K28</f>
        <v/>
      </c>
      <c r="L45" s="19">
        <f>L11+L28</f>
        <v/>
      </c>
      <c r="M45" s="19">
        <f>M11+M28</f>
        <v/>
      </c>
      <c r="N45" s="10" t="inlineStr">
        <is>
          <t>% p.a.</t>
        </is>
      </c>
    </row>
    <row r="46">
      <c r="A46" s="10" t="inlineStr">
        <is>
          <t>Scenario</t>
        </is>
      </c>
      <c r="B46" s="7" t="inlineStr">
        <is>
          <t>Scenario: Cost of sales (incl. store occupancy) as % of total sales</t>
        </is>
      </c>
      <c r="D46" s="19">
        <f>D12+D29</f>
        <v/>
      </c>
      <c r="E46" s="19">
        <f>E12+E29</f>
        <v/>
      </c>
      <c r="F46" s="19">
        <f>F12+F29</f>
        <v/>
      </c>
      <c r="G46" s="19">
        <f>G12+G29</f>
        <v/>
      </c>
      <c r="H46" s="19">
        <f>H12+H29</f>
        <v/>
      </c>
      <c r="I46" s="19">
        <f>I12+I29</f>
        <v/>
      </c>
      <c r="J46" s="19">
        <f>J12+J29</f>
        <v/>
      </c>
      <c r="K46" s="19">
        <f>K12+K29</f>
        <v/>
      </c>
      <c r="L46" s="19">
        <f>L12+L29</f>
        <v/>
      </c>
      <c r="M46" s="19">
        <f>M12+M29</f>
        <v/>
      </c>
      <c r="N46" s="10" t="inlineStr">
        <is>
          <t>% of sales</t>
        </is>
      </c>
    </row>
    <row r="47">
      <c r="A47" s="10" t="inlineStr">
        <is>
          <t>Scenario</t>
        </is>
      </c>
      <c r="B47" s="7" t="inlineStr">
        <is>
          <t>Scenario: Variable SG&amp;A (store payroll, advertising, credit) as % of total sales</t>
        </is>
      </c>
      <c r="D47" s="19">
        <f>D13+D30</f>
        <v/>
      </c>
      <c r="E47" s="19">
        <f>E13+E30</f>
        <v/>
      </c>
      <c r="F47" s="19">
        <f>F13+F30</f>
        <v/>
      </c>
      <c r="G47" s="19">
        <f>G13+G30</f>
        <v/>
      </c>
      <c r="H47" s="19">
        <f>H13+H30</f>
        <v/>
      </c>
      <c r="I47" s="19">
        <f>I13+I30</f>
        <v/>
      </c>
      <c r="J47" s="19">
        <f>J13+J30</f>
        <v/>
      </c>
      <c r="K47" s="19">
        <f>K13+K30</f>
        <v/>
      </c>
      <c r="L47" s="19">
        <f>L13+L30</f>
        <v/>
      </c>
      <c r="M47" s="19">
        <f>M13+M30</f>
        <v/>
      </c>
      <c r="N47" s="10" t="inlineStr">
        <is>
          <t>% of sales</t>
        </is>
      </c>
    </row>
    <row r="48">
      <c r="A48" s="10" t="inlineStr">
        <is>
          <t>Scenario</t>
        </is>
      </c>
      <c r="B48" s="7" t="inlineStr">
        <is>
          <t>Scenario: Fixed SG&amp;A inflation (corporate, support, fixed store overhead)</t>
        </is>
      </c>
      <c r="D48" s="19">
        <f>D14+D31</f>
        <v/>
      </c>
      <c r="E48" s="19">
        <f>E14+E31</f>
        <v/>
      </c>
      <c r="F48" s="19">
        <f>F14+F31</f>
        <v/>
      </c>
      <c r="G48" s="19">
        <f>G14+G31</f>
        <v/>
      </c>
      <c r="H48" s="19">
        <f>H14+H31</f>
        <v/>
      </c>
      <c r="I48" s="19">
        <f>I14+I31</f>
        <v/>
      </c>
      <c r="J48" s="19">
        <f>J14+J31</f>
        <v/>
      </c>
      <c r="K48" s="19">
        <f>K14+K31</f>
        <v/>
      </c>
      <c r="L48" s="19">
        <f>L14+L31</f>
        <v/>
      </c>
      <c r="M48" s="19">
        <f>M14+M31</f>
        <v/>
      </c>
      <c r="N48" s="10" t="inlineStr">
        <is>
          <t>% p.a.</t>
        </is>
      </c>
    </row>
    <row r="49">
      <c r="A49" s="10" t="inlineStr">
        <is>
          <t>Scenario</t>
        </is>
      </c>
      <c r="B49" s="7" t="inlineStr">
        <is>
          <t>Scenario: Cost-savings initiatives (incremental run-rate cut to fixed SG&amp;A)</t>
        </is>
      </c>
      <c r="D49" s="21">
        <f>D15+D32</f>
        <v/>
      </c>
      <c r="E49" s="21">
        <f>E15+E32</f>
        <v/>
      </c>
      <c r="F49" s="21">
        <f>F15+F32</f>
        <v/>
      </c>
      <c r="G49" s="21">
        <f>G15+G32</f>
        <v/>
      </c>
      <c r="H49" s="21">
        <f>H15+H32</f>
        <v/>
      </c>
      <c r="I49" s="21">
        <f>I15+I32</f>
        <v/>
      </c>
      <c r="J49" s="21">
        <f>J15+J32</f>
        <v/>
      </c>
      <c r="K49" s="21">
        <f>K15+K32</f>
        <v/>
      </c>
      <c r="L49" s="21">
        <f>L15+L32</f>
        <v/>
      </c>
      <c r="M49" s="21">
        <f>M15+M32</f>
        <v/>
      </c>
      <c r="N49" s="10" t="inlineStr">
        <is>
          <t>$M</t>
        </is>
      </c>
    </row>
    <row r="50">
      <c r="A50" s="10" t="inlineStr">
        <is>
          <t>Scenario</t>
        </is>
      </c>
      <c r="B50" s="7" t="inlineStr">
        <is>
          <t>Scenario: Other operating income / (expense), one-time items (+ = income)</t>
        </is>
      </c>
      <c r="D50" s="21">
        <f>D16+D33</f>
        <v/>
      </c>
      <c r="E50" s="21">
        <f>E16+E33</f>
        <v/>
      </c>
      <c r="F50" s="21">
        <f>F16+F33</f>
        <v/>
      </c>
      <c r="G50" s="21">
        <f>G16+G33</f>
        <v/>
      </c>
      <c r="H50" s="21">
        <f>H16+H33</f>
        <v/>
      </c>
      <c r="I50" s="21">
        <f>I16+I33</f>
        <v/>
      </c>
      <c r="J50" s="21">
        <f>J16+J33</f>
        <v/>
      </c>
      <c r="K50" s="21">
        <f>K16+K33</f>
        <v/>
      </c>
      <c r="L50" s="21">
        <f>L16+L33</f>
        <v/>
      </c>
      <c r="M50" s="21">
        <f>M16+M33</f>
        <v/>
      </c>
      <c r="N50" s="10" t="inlineStr">
        <is>
          <t>$M</t>
        </is>
      </c>
    </row>
    <row r="51">
      <c r="A51" s="10" t="inlineStr">
        <is>
          <t>Scenario</t>
        </is>
      </c>
      <c r="B51" s="7" t="inlineStr">
        <is>
          <t>Scenario: Net yield on invested assets (cash &amp; equivalents)</t>
        </is>
      </c>
      <c r="D51" s="19">
        <f>D17+D34</f>
        <v/>
      </c>
      <c r="E51" s="19">
        <f>E17+E34</f>
        <v/>
      </c>
      <c r="F51" s="19">
        <f>F17+F34</f>
        <v/>
      </c>
      <c r="G51" s="19">
        <f>G17+G34</f>
        <v/>
      </c>
      <c r="H51" s="19">
        <f>H17+H34</f>
        <v/>
      </c>
      <c r="I51" s="19">
        <f>I17+I34</f>
        <v/>
      </c>
      <c r="J51" s="19">
        <f>J17+J34</f>
        <v/>
      </c>
      <c r="K51" s="19">
        <f>K17+K34</f>
        <v/>
      </c>
      <c r="L51" s="19">
        <f>L17+L34</f>
        <v/>
      </c>
      <c r="M51" s="19">
        <f>M17+M34</f>
        <v/>
      </c>
      <c r="N51" s="10" t="inlineStr">
        <is>
          <t>% of prior-yr cash</t>
        </is>
      </c>
    </row>
    <row r="52">
      <c r="A52" s="10" t="inlineStr">
        <is>
          <t>Scenario</t>
        </is>
      </c>
      <c r="B52" s="7" t="inlineStr">
        <is>
          <t>Scenario: Interest rate on debt (ABL revolver; debt is zero in baseline)</t>
        </is>
      </c>
      <c r="D52" s="19">
        <f>D18+D35</f>
        <v/>
      </c>
      <c r="E52" s="19">
        <f>E18+E35</f>
        <v/>
      </c>
      <c r="F52" s="19">
        <f>F18+F35</f>
        <v/>
      </c>
      <c r="G52" s="19">
        <f>G18+G35</f>
        <v/>
      </c>
      <c r="H52" s="19">
        <f>H18+H35</f>
        <v/>
      </c>
      <c r="I52" s="19">
        <f>I18+I35</f>
        <v/>
      </c>
      <c r="J52" s="19">
        <f>J18+J35</f>
        <v/>
      </c>
      <c r="K52" s="19">
        <f>K18+K35</f>
        <v/>
      </c>
      <c r="L52" s="19">
        <f>L18+L35</f>
        <v/>
      </c>
      <c r="M52" s="19">
        <f>M18+M35</f>
        <v/>
      </c>
      <c r="N52" s="10" t="inlineStr">
        <is>
          <t>% of prior-yr debt</t>
        </is>
      </c>
    </row>
    <row r="53">
      <c r="A53" s="10" t="inlineStr">
        <is>
          <t>Scenario</t>
        </is>
      </c>
      <c r="B53" s="7" t="inlineStr">
        <is>
          <t>Scenario: Effective income tax rate</t>
        </is>
      </c>
      <c r="D53" s="19">
        <f>D19+D36</f>
        <v/>
      </c>
      <c r="E53" s="19">
        <f>E19+E36</f>
        <v/>
      </c>
      <c r="F53" s="19">
        <f>F19+F36</f>
        <v/>
      </c>
      <c r="G53" s="19">
        <f>G19+G36</f>
        <v/>
      </c>
      <c r="H53" s="19">
        <f>H19+H36</f>
        <v/>
      </c>
      <c r="I53" s="19">
        <f>I19+I36</f>
        <v/>
      </c>
      <c r="J53" s="19">
        <f>J19+J36</f>
        <v/>
      </c>
      <c r="K53" s="19">
        <f>K19+K36</f>
        <v/>
      </c>
      <c r="L53" s="19">
        <f>L19+L36</f>
        <v/>
      </c>
      <c r="M53" s="19">
        <f>M19+M36</f>
        <v/>
      </c>
      <c r="N53" s="10" t="inlineStr">
        <is>
          <t>% of pre-tax</t>
        </is>
      </c>
    </row>
    <row r="54">
      <c r="A54" s="10" t="inlineStr">
        <is>
          <t>Scenario</t>
        </is>
      </c>
      <c r="B54" s="7" t="inlineStr">
        <is>
          <t>Scenario: Discount rate (cost of equity, CAPM) - single rate for the segment</t>
        </is>
      </c>
      <c r="D54" s="19">
        <f>D20+D37</f>
        <v/>
      </c>
      <c r="N54" s="10" t="inlineStr">
        <is>
          <t>% p.a.</t>
        </is>
      </c>
    </row>
    <row r="56">
      <c r="A56" s="12" t="inlineStr">
        <is>
          <t>PROJECTION  ($ millions unless stated; all formulas read the SCENARIO block, never the baseline block directly)</t>
        </is>
      </c>
      <c r="B56" s="13" t="n"/>
      <c r="C56" s="13" t="n"/>
      <c r="D56" s="13" t="n"/>
      <c r="E56" s="13" t="n"/>
      <c r="F56" s="13" t="n"/>
      <c r="G56" s="13" t="n"/>
      <c r="H56" s="13" t="n"/>
      <c r="I56" s="13" t="n"/>
      <c r="J56" s="13" t="n"/>
      <c r="K56" s="13" t="n"/>
      <c r="L56" s="13" t="n"/>
      <c r="M56" s="13" t="n"/>
      <c r="N56" s="13" t="n"/>
      <c r="O56" s="13" t="n"/>
    </row>
    <row r="57">
      <c r="A57" s="22" t="inlineStr">
        <is>
          <t>Drivers</t>
        </is>
      </c>
      <c r="B57" s="23" t="inlineStr">
        <is>
          <t>OPERATING DRIVERS</t>
        </is>
      </c>
      <c r="C57" s="24" t="n"/>
      <c r="D57" s="24" t="n"/>
      <c r="E57" s="24" t="n"/>
      <c r="F57" s="24" t="n"/>
      <c r="G57" s="24" t="n"/>
      <c r="H57" s="24" t="n"/>
      <c r="I57" s="24" t="n"/>
      <c r="J57" s="24" t="n"/>
      <c r="K57" s="24" t="n"/>
      <c r="L57" s="24" t="n"/>
      <c r="M57" s="24" t="n"/>
      <c r="N57" s="24" t="n"/>
      <c r="O57" s="24" t="n"/>
    </row>
    <row r="58">
      <c r="B58" s="7" t="inlineStr">
        <is>
          <t>Stores - beginning of year</t>
        </is>
      </c>
      <c r="C58" s="17" t="n">
        <v>0</v>
      </c>
      <c r="D58" s="16">
        <f>C61</f>
        <v/>
      </c>
      <c r="E58" s="16">
        <f>D61</f>
        <v/>
      </c>
      <c r="F58" s="16">
        <f>E61</f>
        <v/>
      </c>
      <c r="G58" s="16">
        <f>F61</f>
        <v/>
      </c>
      <c r="H58" s="16">
        <f>G61</f>
        <v/>
      </c>
      <c r="I58" s="16">
        <f>H61</f>
        <v/>
      </c>
      <c r="J58" s="16">
        <f>I61</f>
        <v/>
      </c>
      <c r="K58" s="16">
        <f>J61</f>
        <v/>
      </c>
      <c r="L58" s="16">
        <f>K61</f>
        <v/>
      </c>
      <c r="M58" s="16">
        <f>L61</f>
        <v/>
      </c>
      <c r="N58" s="10" t="inlineStr">
        <is>
          <t># stores</t>
        </is>
      </c>
      <c r="O58" s="10" t="inlineStr">
        <is>
          <t>Last Yr = stores at Feb 1, 2025 (10-K FY2026).</t>
        </is>
      </c>
    </row>
    <row r="59">
      <c r="B59" s="7" t="inlineStr">
        <is>
          <t>Gross store openings</t>
        </is>
      </c>
      <c r="C59" s="17" t="n">
        <v>0</v>
      </c>
      <c r="D59" s="16">
        <f>D40</f>
        <v/>
      </c>
      <c r="E59" s="16">
        <f>E40</f>
        <v/>
      </c>
      <c r="F59" s="16">
        <f>F40</f>
        <v/>
      </c>
      <c r="G59" s="16">
        <f>G40</f>
        <v/>
      </c>
      <c r="H59" s="16">
        <f>H40</f>
        <v/>
      </c>
      <c r="I59" s="16">
        <f>I40</f>
        <v/>
      </c>
      <c r="J59" s="16">
        <f>J40</f>
        <v/>
      </c>
      <c r="K59" s="16">
        <f>K40</f>
        <v/>
      </c>
      <c r="L59" s="16">
        <f>L40</f>
        <v/>
      </c>
      <c r="M59" s="16">
        <f>M40</f>
        <v/>
      </c>
      <c r="N59" s="10" t="inlineStr">
        <is>
          <t># stores</t>
        </is>
      </c>
      <c r="O59" s="10" t="inlineStr"/>
    </row>
    <row r="60">
      <c r="B60" s="7" t="inlineStr">
        <is>
          <t>Store closures</t>
        </is>
      </c>
      <c r="C60" s="17" t="n">
        <v>0</v>
      </c>
      <c r="D60" s="16">
        <f>D41</f>
        <v/>
      </c>
      <c r="E60" s="16">
        <f>E41</f>
        <v/>
      </c>
      <c r="F60" s="16">
        <f>F41</f>
        <v/>
      </c>
      <c r="G60" s="16">
        <f>G41</f>
        <v/>
      </c>
      <c r="H60" s="16">
        <f>H41</f>
        <v/>
      </c>
      <c r="I60" s="16">
        <f>I41</f>
        <v/>
      </c>
      <c r="J60" s="16">
        <f>J41</f>
        <v/>
      </c>
      <c r="K60" s="16">
        <f>K41</f>
        <v/>
      </c>
      <c r="L60" s="16">
        <f>L41</f>
        <v/>
      </c>
      <c r="M60" s="16">
        <f>M41</f>
        <v/>
      </c>
      <c r="N60" s="10" t="inlineStr">
        <is>
          <t># stores</t>
        </is>
      </c>
      <c r="O60" s="10" t="inlineStr"/>
    </row>
    <row r="61">
      <c r="B61" s="7" t="inlineStr">
        <is>
          <t>Stores - end of year</t>
        </is>
      </c>
      <c r="C61" s="16">
        <f>C58+C59-C60</f>
        <v/>
      </c>
      <c r="D61" s="16">
        <f>D58+D59-D60</f>
        <v/>
      </c>
      <c r="E61" s="16">
        <f>E58+E59-E60</f>
        <v/>
      </c>
      <c r="F61" s="16">
        <f>F58+F59-F60</f>
        <v/>
      </c>
      <c r="G61" s="16">
        <f>G58+G59-G60</f>
        <v/>
      </c>
      <c r="H61" s="16">
        <f>H58+H59-H60</f>
        <v/>
      </c>
      <c r="I61" s="16">
        <f>I58+I59-I60</f>
        <v/>
      </c>
      <c r="J61" s="16">
        <f>J58+J59-J60</f>
        <v/>
      </c>
      <c r="K61" s="16">
        <f>K58+K59-K60</f>
        <v/>
      </c>
      <c r="L61" s="16">
        <f>L58+L59-L60</f>
        <v/>
      </c>
      <c r="M61" s="16">
        <f>M58+M59-M60</f>
        <v/>
      </c>
      <c r="N61" s="10" t="inlineStr">
        <is>
          <t># stores</t>
        </is>
      </c>
      <c r="O61" s="10" t="inlineStr"/>
    </row>
    <row r="62">
      <c r="B62" s="7" t="inlineStr">
        <is>
          <t>Average stores in operation</t>
        </is>
      </c>
      <c r="C62" s="21">
        <f>AVERAGE(C58,C61)</f>
        <v/>
      </c>
      <c r="D62" s="21">
        <f>AVERAGE(D58,D61)</f>
        <v/>
      </c>
      <c r="E62" s="21">
        <f>AVERAGE(E58,E61)</f>
        <v/>
      </c>
      <c r="F62" s="21">
        <f>AVERAGE(F58,F61)</f>
        <v/>
      </c>
      <c r="G62" s="21">
        <f>AVERAGE(G58,G61)</f>
        <v/>
      </c>
      <c r="H62" s="21">
        <f>AVERAGE(H58,H61)</f>
        <v/>
      </c>
      <c r="I62" s="21">
        <f>AVERAGE(I58,I61)</f>
        <v/>
      </c>
      <c r="J62" s="21">
        <f>AVERAGE(J58,J61)</f>
        <v/>
      </c>
      <c r="K62" s="21">
        <f>AVERAGE(K58,K61)</f>
        <v/>
      </c>
      <c r="L62" s="21">
        <f>AVERAGE(L58,L61)</f>
        <v/>
      </c>
      <c r="M62" s="21">
        <f>AVERAGE(M58,M61)</f>
        <v/>
      </c>
      <c r="N62" s="10" t="inlineStr">
        <is>
          <t># stores</t>
        </is>
      </c>
      <c r="O62" s="10" t="inlineStr"/>
    </row>
    <row r="63">
      <c r="B63" s="7" t="inlineStr">
        <is>
          <t>Store merchandise sales per average store</t>
        </is>
      </c>
      <c r="C63" s="25">
        <f>IF(C62=0,0,C66/C62)</f>
        <v/>
      </c>
      <c r="D63" s="25">
        <f>C63*(1+D42)</f>
        <v/>
      </c>
      <c r="E63" s="25">
        <f>D63*(1+E42)</f>
        <v/>
      </c>
      <c r="F63" s="25">
        <f>E63*(1+F42)</f>
        <v/>
      </c>
      <c r="G63" s="25">
        <f>F63*(1+G42)</f>
        <v/>
      </c>
      <c r="H63" s="25">
        <f>G63*(1+H42)</f>
        <v/>
      </c>
      <c r="I63" s="25">
        <f>H63*(1+I42)</f>
        <v/>
      </c>
      <c r="J63" s="25">
        <f>I63*(1+J42)</f>
        <v/>
      </c>
      <c r="K63" s="25">
        <f>J63*(1+K42)</f>
        <v/>
      </c>
      <c r="L63" s="25">
        <f>K63*(1+L42)</f>
        <v/>
      </c>
      <c r="M63" s="25">
        <f>L63*(1+M42)</f>
        <v/>
      </c>
      <c r="N63" s="10" t="inlineStr">
        <is>
          <t>$M / store</t>
        </is>
      </c>
      <c r="O63" s="10" t="inlineStr">
        <is>
          <t>Last Yr calibrated = store merchandise sales / average stores; grows at same-store-sales assumption.</t>
        </is>
      </c>
    </row>
    <row r="64"/>
    <row r="65">
      <c r="A65" s="22" t="inlineStr">
        <is>
          <t>Income stmt</t>
        </is>
      </c>
      <c r="B65" s="23" t="inlineStr">
        <is>
          <t>INCOME STATEMENT</t>
        </is>
      </c>
      <c r="C65" s="24" t="n"/>
      <c r="D65" s="24" t="n"/>
      <c r="E65" s="24" t="n"/>
      <c r="F65" s="24" t="n"/>
      <c r="G65" s="24" t="n"/>
      <c r="H65" s="24" t="n"/>
      <c r="I65" s="24" t="n"/>
      <c r="J65" s="24" t="n"/>
      <c r="K65" s="24" t="n"/>
      <c r="L65" s="24" t="n"/>
      <c r="M65" s="24" t="n"/>
      <c r="N65" s="24" t="n"/>
      <c r="O65" s="24" t="n"/>
    </row>
    <row r="66">
      <c r="B66" s="7" t="inlineStr">
        <is>
          <t>Store merchandise sales (average stores x sales per store)</t>
        </is>
      </c>
      <c r="C66" s="20" t="n">
        <v>0</v>
      </c>
      <c r="D66" s="21">
        <f>D62*D63</f>
        <v/>
      </c>
      <c r="E66" s="21">
        <f>E62*E63</f>
        <v/>
      </c>
      <c r="F66" s="21">
        <f>F62*F63</f>
        <v/>
      </c>
      <c r="G66" s="21">
        <f>G62*G63</f>
        <v/>
      </c>
      <c r="H66" s="21">
        <f>H62*H63</f>
        <v/>
      </c>
      <c r="I66" s="21">
        <f>I62*I63</f>
        <v/>
      </c>
      <c r="J66" s="21">
        <f>J62*J63</f>
        <v/>
      </c>
      <c r="K66" s="21">
        <f>K62*K63</f>
        <v/>
      </c>
      <c r="L66" s="21">
        <f>L62*L63</f>
        <v/>
      </c>
      <c r="M66" s="21">
        <f>M62*M63</f>
        <v/>
      </c>
      <c r="N66" s="10" t="inlineStr">
        <is>
          <t>$M</t>
        </is>
      </c>
      <c r="O66" s="10" t="inlineStr"/>
    </row>
    <row r="67">
      <c r="B67" s="7" t="inlineStr">
        <is>
          <t>E-commerce merchandise sales</t>
        </is>
      </c>
      <c r="C67" s="20" t="n">
        <v>0</v>
      </c>
      <c r="D67" s="21">
        <f>C67*(1+D43)</f>
        <v/>
      </c>
      <c r="E67" s="21">
        <f>D67*(1+E43)</f>
        <v/>
      </c>
      <c r="F67" s="21">
        <f>E67*(1+F43)</f>
        <v/>
      </c>
      <c r="G67" s="21">
        <f>F67*(1+G43)</f>
        <v/>
      </c>
      <c r="H67" s="21">
        <f>G67*(1+H43)</f>
        <v/>
      </c>
      <c r="I67" s="21">
        <f>H67*(1+I43)</f>
        <v/>
      </c>
      <c r="J67" s="21">
        <f>I67*(1+J43)</f>
        <v/>
      </c>
      <c r="K67" s="21">
        <f>J67*(1+K43)</f>
        <v/>
      </c>
      <c r="L67" s="21">
        <f>K67*(1+L43)</f>
        <v/>
      </c>
      <c r="M67" s="21">
        <f>L67*(1+M43)</f>
        <v/>
      </c>
      <c r="N67" s="10" t="inlineStr">
        <is>
          <t>$M</t>
        </is>
      </c>
      <c r="O67" s="10" t="inlineStr">
        <is>
          <t>Last Yr: NA 1,423.8 incl. James Allen + Blue Nile 481.5; company e-commerce 21.8% of sales.</t>
        </is>
      </c>
    </row>
    <row r="68">
      <c r="B68" s="7" t="inlineStr">
        <is>
          <t>Services revenue (extended service plans, repairs, custom design)</t>
        </is>
      </c>
      <c r="C68" s="20" t="n">
        <v>0</v>
      </c>
      <c r="D68" s="21">
        <f>(D66+D67)*D44</f>
        <v/>
      </c>
      <c r="E68" s="21">
        <f>(E66+E67)*E44</f>
        <v/>
      </c>
      <c r="F68" s="21">
        <f>(F66+F67)*F44</f>
        <v/>
      </c>
      <c r="G68" s="21">
        <f>(G66+G67)*G44</f>
        <v/>
      </c>
      <c r="H68" s="21">
        <f>(H66+H67)*H44</f>
        <v/>
      </c>
      <c r="I68" s="21">
        <f>(I66+I67)*I44</f>
        <v/>
      </c>
      <c r="J68" s="21">
        <f>(J66+J67)*J44</f>
        <v/>
      </c>
      <c r="K68" s="21">
        <f>(K66+K67)*K44</f>
        <v/>
      </c>
      <c r="L68" s="21">
        <f>(L66+L67)*L44</f>
        <v/>
      </c>
      <c r="M68" s="21">
        <f>(M66+M67)*M44</f>
        <v/>
      </c>
      <c r="N68" s="10" t="inlineStr">
        <is>
          <t>$M</t>
        </is>
      </c>
      <c r="O68" s="10" t="inlineStr">
        <is>
          <t>FY2026 services 803.5 consolidated (10-K); attach rate assumption x merchandise sales.</t>
        </is>
      </c>
    </row>
    <row r="69">
      <c r="B69" s="7" t="inlineStr">
        <is>
          <t>Other revenue (diamond sourcing / non-retail)</t>
        </is>
      </c>
      <c r="C69" s="20" t="n">
        <v>39.6</v>
      </c>
      <c r="D69" s="21">
        <f>C69*(1+D45)</f>
        <v/>
      </c>
      <c r="E69" s="21">
        <f>D69*(1+E45)</f>
        <v/>
      </c>
      <c r="F69" s="21">
        <f>E69*(1+F45)</f>
        <v/>
      </c>
      <c r="G69" s="21">
        <f>F69*(1+G45)</f>
        <v/>
      </c>
      <c r="H69" s="21">
        <f>G69*(1+H45)</f>
        <v/>
      </c>
      <c r="I69" s="21">
        <f>H69*(1+I45)</f>
        <v/>
      </c>
      <c r="J69" s="21">
        <f>I69*(1+J45)</f>
        <v/>
      </c>
      <c r="K69" s="21">
        <f>J69*(1+K45)</f>
        <v/>
      </c>
      <c r="L69" s="21">
        <f>K69*(1+L45)</f>
        <v/>
      </c>
      <c r="M69" s="21">
        <f>L69*(1+M45)</f>
        <v/>
      </c>
      <c r="N69" s="10" t="inlineStr">
        <is>
          <t>$M</t>
        </is>
      </c>
      <c r="O69" s="10" t="inlineStr">
        <is>
          <t>Diamond-sourcing sales to third parties (Other segment).</t>
        </is>
      </c>
    </row>
    <row r="70">
      <c r="B70" s="3" t="inlineStr">
        <is>
          <t>TOTAL SALES</t>
        </is>
      </c>
      <c r="C70" s="26">
        <f>SUM(C66:C69)</f>
        <v/>
      </c>
      <c r="D70" s="26">
        <f>SUM(D66:D69)</f>
        <v/>
      </c>
      <c r="E70" s="26">
        <f>SUM(E66:E69)</f>
        <v/>
      </c>
      <c r="F70" s="26">
        <f>SUM(F66:F69)</f>
        <v/>
      </c>
      <c r="G70" s="26">
        <f>SUM(G66:G69)</f>
        <v/>
      </c>
      <c r="H70" s="26">
        <f>SUM(H66:H69)</f>
        <v/>
      </c>
      <c r="I70" s="26">
        <f>SUM(I66:I69)</f>
        <v/>
      </c>
      <c r="J70" s="26">
        <f>SUM(J66:J69)</f>
        <v/>
      </c>
      <c r="K70" s="26">
        <f>SUM(K66:K69)</f>
        <v/>
      </c>
      <c r="L70" s="26">
        <f>SUM(L66:L69)</f>
        <v/>
      </c>
      <c r="M70" s="26">
        <f>SUM(M66:M69)</f>
        <v/>
      </c>
      <c r="N70" s="10" t="inlineStr">
        <is>
          <t>$M</t>
        </is>
      </c>
      <c r="O70" s="10" t="inlineStr">
        <is>
          <t>FY2026A ties to reported segment sales.</t>
        </is>
      </c>
    </row>
    <row r="71">
      <c r="B71" s="7" t="inlineStr">
        <is>
          <t>Revenue growth (calculated check row)</t>
        </is>
      </c>
      <c r="D71" s="19">
        <f>IF(C70=0,0,D70/C70-1)</f>
        <v/>
      </c>
      <c r="E71" s="19">
        <f>IF(D70=0,0,E70/D70-1)</f>
        <v/>
      </c>
      <c r="F71" s="19">
        <f>IF(E70=0,0,F70/E70-1)</f>
        <v/>
      </c>
      <c r="G71" s="19">
        <f>IF(F70=0,0,G70/F70-1)</f>
        <v/>
      </c>
      <c r="H71" s="19">
        <f>IF(G70=0,0,H70/G70-1)</f>
        <v/>
      </c>
      <c r="I71" s="19">
        <f>IF(H70=0,0,I70/H70-1)</f>
        <v/>
      </c>
      <c r="J71" s="19">
        <f>IF(I70=0,0,J70/I70-1)</f>
        <v/>
      </c>
      <c r="K71" s="19">
        <f>IF(J70=0,0,K70/J70-1)</f>
        <v/>
      </c>
      <c r="L71" s="19">
        <f>IF(K70=0,0,L70/K70-1)</f>
        <v/>
      </c>
      <c r="M71" s="19">
        <f>IF(L70=0,0,M70/L70-1)</f>
        <v/>
      </c>
      <c r="N71" s="10" t="inlineStr">
        <is>
          <t>%</t>
        </is>
      </c>
      <c r="O71" s="10" t="inlineStr"/>
    </row>
    <row r="72">
      <c r="B72" s="7" t="inlineStr">
        <is>
          <t>Cost of sales (merchandise, services and store occupancy)</t>
        </is>
      </c>
      <c r="C72" s="20" t="n">
        <v>36.4</v>
      </c>
      <c r="D72" s="21">
        <f>D70*D46</f>
        <v/>
      </c>
      <c r="E72" s="21">
        <f>E70*E46</f>
        <v/>
      </c>
      <c r="F72" s="21">
        <f>F70*F46</f>
        <v/>
      </c>
      <c r="G72" s="21">
        <f>G70*G46</f>
        <v/>
      </c>
      <c r="H72" s="21">
        <f>H70*H46</f>
        <v/>
      </c>
      <c r="I72" s="21">
        <f>I70*I46</f>
        <v/>
      </c>
      <c r="J72" s="21">
        <f>J70*J46</f>
        <v/>
      </c>
      <c r="K72" s="21">
        <f>K70*K46</f>
        <v/>
      </c>
      <c r="L72" s="21">
        <f>L70*L46</f>
        <v/>
      </c>
      <c r="M72" s="21">
        <f>M70*M46</f>
        <v/>
      </c>
      <c r="N72" s="10" t="inlineStr">
        <is>
          <t>$M</t>
        </is>
      </c>
      <c r="O72" s="10" t="inlineStr">
        <is>
          <t>Segment split of consolidated 4,119.0 is a team allocation (see Assumptions &amp; Sources).</t>
        </is>
      </c>
    </row>
    <row r="73">
      <c r="B73" s="3" t="inlineStr">
        <is>
          <t>Gross profit</t>
        </is>
      </c>
      <c r="C73" s="26">
        <f>C70-C72</f>
        <v/>
      </c>
      <c r="D73" s="26">
        <f>D70-D72</f>
        <v/>
      </c>
      <c r="E73" s="26">
        <f>E70-E72</f>
        <v/>
      </c>
      <c r="F73" s="26">
        <f>F70-F72</f>
        <v/>
      </c>
      <c r="G73" s="26">
        <f>G70-G72</f>
        <v/>
      </c>
      <c r="H73" s="26">
        <f>H70-H72</f>
        <v/>
      </c>
      <c r="I73" s="26">
        <f>I70-I72</f>
        <v/>
      </c>
      <c r="J73" s="26">
        <f>J70-J72</f>
        <v/>
      </c>
      <c r="K73" s="26">
        <f>K70-K72</f>
        <v/>
      </c>
      <c r="L73" s="26">
        <f>L70-L72</f>
        <v/>
      </c>
      <c r="M73" s="26">
        <f>M70-M72</f>
        <v/>
      </c>
      <c r="N73" s="10" t="inlineStr">
        <is>
          <t>$M</t>
        </is>
      </c>
      <c r="O73" s="10" t="inlineStr"/>
    </row>
    <row r="74">
      <c r="B74" s="7" t="inlineStr">
        <is>
          <t>Gross margin %</t>
        </is>
      </c>
      <c r="C74" s="19">
        <f>IF(C70=0,0,C73/C70)</f>
        <v/>
      </c>
      <c r="D74" s="19">
        <f>IF(D70=0,0,D73/D70)</f>
        <v/>
      </c>
      <c r="E74" s="19">
        <f>IF(E70=0,0,E73/E70)</f>
        <v/>
      </c>
      <c r="F74" s="19">
        <f>IF(F70=0,0,F73/F70)</f>
        <v/>
      </c>
      <c r="G74" s="19">
        <f>IF(G70=0,0,G73/G70)</f>
        <v/>
      </c>
      <c r="H74" s="19">
        <f>IF(H70=0,0,H73/H70)</f>
        <v/>
      </c>
      <c r="I74" s="19">
        <f>IF(I70=0,0,I73/I70)</f>
        <v/>
      </c>
      <c r="J74" s="19">
        <f>IF(J70=0,0,J73/J70)</f>
        <v/>
      </c>
      <c r="K74" s="19">
        <f>IF(K70=0,0,K73/K70)</f>
        <v/>
      </c>
      <c r="L74" s="19">
        <f>IF(L70=0,0,L73/L70)</f>
        <v/>
      </c>
      <c r="M74" s="19">
        <f>IF(M70=0,0,M73/M70)</f>
        <v/>
      </c>
      <c r="N74" s="10" t="inlineStr">
        <is>
          <t>%</t>
        </is>
      </c>
      <c r="O74" s="10" t="inlineStr"/>
    </row>
    <row r="75">
      <c r="B75" s="7" t="inlineStr">
        <is>
          <t>Variable SG&amp;A</t>
        </is>
      </c>
      <c r="C75" s="20" t="n">
        <v>0</v>
      </c>
      <c r="D75" s="21">
        <f>D70*D47</f>
        <v/>
      </c>
      <c r="E75" s="21">
        <f>E70*E47</f>
        <v/>
      </c>
      <c r="F75" s="21">
        <f>F70*F47</f>
        <v/>
      </c>
      <c r="G75" s="21">
        <f>G70*G47</f>
        <v/>
      </c>
      <c r="H75" s="21">
        <f>H70*H47</f>
        <v/>
      </c>
      <c r="I75" s="21">
        <f>I70*I47</f>
        <v/>
      </c>
      <c r="J75" s="21">
        <f>J70*J47</f>
        <v/>
      </c>
      <c r="K75" s="21">
        <f>K70*K47</f>
        <v/>
      </c>
      <c r="L75" s="21">
        <f>L70*L47</f>
        <v/>
      </c>
      <c r="M75" s="21">
        <f>M70*M47</f>
        <v/>
      </c>
      <c r="N75" s="10" t="inlineStr">
        <is>
          <t>$M</t>
        </is>
      </c>
      <c r="O75" s="10" t="inlineStr"/>
    </row>
    <row r="76">
      <c r="B76" s="7" t="inlineStr">
        <is>
          <t>Fixed SG&amp;A (net of cost savings)</t>
        </is>
      </c>
      <c r="C76" s="20" t="n">
        <v>56</v>
      </c>
      <c r="D76" s="21">
        <f>C76*(1+D48)-D49</f>
        <v/>
      </c>
      <c r="E76" s="21">
        <f>D76*(1+E48)-E49</f>
        <v/>
      </c>
      <c r="F76" s="21">
        <f>E76*(1+F48)-F49</f>
        <v/>
      </c>
      <c r="G76" s="21">
        <f>F76*(1+G48)-G49</f>
        <v/>
      </c>
      <c r="H76" s="21">
        <f>G76*(1+H48)-H49</f>
        <v/>
      </c>
      <c r="I76" s="21">
        <f>H76*(1+I48)-I49</f>
        <v/>
      </c>
      <c r="J76" s="21">
        <f>I76*(1+J48)-J49</f>
        <v/>
      </c>
      <c r="K76" s="21">
        <f>J76*(1+K48)-K49</f>
        <v/>
      </c>
      <c r="L76" s="21">
        <f>K76*(1+L48)-L49</f>
        <v/>
      </c>
      <c r="M76" s="21">
        <f>L76*(1+M48)-M49</f>
        <v/>
      </c>
      <c r="N76" s="10" t="inlineStr">
        <is>
          <t>$M</t>
        </is>
      </c>
      <c r="O76" s="10" t="inlineStr">
        <is>
          <t>Last Yr fixed SG&amp;A = segment SG&amp;A less variable component.</t>
        </is>
      </c>
    </row>
    <row r="77">
      <c r="B77" s="7" t="inlineStr">
        <is>
          <t>Total SG&amp;A</t>
        </is>
      </c>
      <c r="C77" s="21">
        <f>C75+C76</f>
        <v/>
      </c>
      <c r="D77" s="21">
        <f>D75+D76</f>
        <v/>
      </c>
      <c r="E77" s="21">
        <f>E75+E76</f>
        <v/>
      </c>
      <c r="F77" s="21">
        <f>F75+F76</f>
        <v/>
      </c>
      <c r="G77" s="21">
        <f>G75+G76</f>
        <v/>
      </c>
      <c r="H77" s="21">
        <f>H75+H76</f>
        <v/>
      </c>
      <c r="I77" s="21">
        <f>I75+I76</f>
        <v/>
      </c>
      <c r="J77" s="21">
        <f>J75+J76</f>
        <v/>
      </c>
      <c r="K77" s="21">
        <f>K75+K76</f>
        <v/>
      </c>
      <c r="L77" s="21">
        <f>L75+L76</f>
        <v/>
      </c>
      <c r="M77" s="21">
        <f>M75+M76</f>
        <v/>
      </c>
      <c r="N77" s="10" t="inlineStr">
        <is>
          <t>$M</t>
        </is>
      </c>
      <c r="O77" s="10" t="inlineStr"/>
    </row>
    <row r="78">
      <c r="B78" s="7" t="inlineStr">
        <is>
          <t>SG&amp;A % of sales</t>
        </is>
      </c>
      <c r="C78" s="19">
        <f>IF(C70=0,0,C77/C70)</f>
        <v/>
      </c>
      <c r="D78" s="19">
        <f>IF(D70=0,0,D77/D70)</f>
        <v/>
      </c>
      <c r="E78" s="19">
        <f>IF(E70=0,0,E77/E70)</f>
        <v/>
      </c>
      <c r="F78" s="19">
        <f>IF(F70=0,0,F77/F70)</f>
        <v/>
      </c>
      <c r="G78" s="19">
        <f>IF(G70=0,0,G77/G70)</f>
        <v/>
      </c>
      <c r="H78" s="19">
        <f>IF(H70=0,0,H77/H70)</f>
        <v/>
      </c>
      <c r="I78" s="19">
        <f>IF(I70=0,0,I77/I70)</f>
        <v/>
      </c>
      <c r="J78" s="19">
        <f>IF(J70=0,0,J77/J70)</f>
        <v/>
      </c>
      <c r="K78" s="19">
        <f>IF(K70=0,0,K77/K70)</f>
        <v/>
      </c>
      <c r="L78" s="19">
        <f>IF(L70=0,0,L77/L70)</f>
        <v/>
      </c>
      <c r="M78" s="19">
        <f>IF(M70=0,0,M77/M70)</f>
        <v/>
      </c>
      <c r="N78" s="10" t="inlineStr">
        <is>
          <t>%</t>
        </is>
      </c>
      <c r="O78" s="10" t="inlineStr"/>
    </row>
    <row r="79">
      <c r="B79" s="7" t="inlineStr">
        <is>
          <t>Other operating income / (expense)</t>
        </is>
      </c>
      <c r="C79" s="20" t="n">
        <v>-23</v>
      </c>
      <c r="D79" s="21">
        <f>D50</f>
        <v/>
      </c>
      <c r="E79" s="21">
        <f>E50</f>
        <v/>
      </c>
      <c r="F79" s="21">
        <f>F50</f>
        <v/>
      </c>
      <c r="G79" s="21">
        <f>G50</f>
        <v/>
      </c>
      <c r="H79" s="21">
        <f>H50</f>
        <v/>
      </c>
      <c r="I79" s="21">
        <f>I50</f>
        <v/>
      </c>
      <c r="J79" s="21">
        <f>J50</f>
        <v/>
      </c>
      <c r="K79" s="21">
        <f>K50</f>
        <v/>
      </c>
      <c r="L79" s="21">
        <f>L50</f>
        <v/>
      </c>
      <c r="M79" s="21">
        <f>M50</f>
        <v/>
      </c>
      <c r="N79" s="10" t="inlineStr">
        <is>
          <t>$M</t>
        </is>
      </c>
      <c r="O79" s="10" t="inlineStr">
        <is>
          <t>Last Yr: impairments &amp; restructuring (consolidated -128.3); projection = one-time assumption row.</t>
        </is>
      </c>
    </row>
    <row r="80">
      <c r="B80" s="3" t="inlineStr">
        <is>
          <t>OPERATING INCOME</t>
        </is>
      </c>
      <c r="C80" s="26">
        <f>C73-C77+C79</f>
        <v/>
      </c>
      <c r="D80" s="26">
        <f>D73-D77+D79</f>
        <v/>
      </c>
      <c r="E80" s="26">
        <f>E73-E77+E79</f>
        <v/>
      </c>
      <c r="F80" s="26">
        <f>F73-F77+F79</f>
        <v/>
      </c>
      <c r="G80" s="26">
        <f>G73-G77+G79</f>
        <v/>
      </c>
      <c r="H80" s="26">
        <f>H73-H77+H79</f>
        <v/>
      </c>
      <c r="I80" s="26">
        <f>I73-I77+I79</f>
        <v/>
      </c>
      <c r="J80" s="26">
        <f>J73-J77+J79</f>
        <v/>
      </c>
      <c r="K80" s="26">
        <f>K73-K77+K79</f>
        <v/>
      </c>
      <c r="L80" s="26">
        <f>L73-L77+L79</f>
        <v/>
      </c>
      <c r="M80" s="26">
        <f>M73-M77+M79</f>
        <v/>
      </c>
      <c r="N80" s="10" t="inlineStr">
        <is>
          <t>$M</t>
        </is>
      </c>
      <c r="O80" s="10" t="inlineStr">
        <is>
          <t>FY2026A ties to reported segment operating income.</t>
        </is>
      </c>
    </row>
    <row r="81">
      <c r="B81" s="7" t="inlineStr">
        <is>
          <t>Operating margin %</t>
        </is>
      </c>
      <c r="C81" s="19">
        <f>IF(C70=0,0,C80/C70)</f>
        <v/>
      </c>
      <c r="D81" s="19">
        <f>IF(D70=0,0,D80/D70)</f>
        <v/>
      </c>
      <c r="E81" s="19">
        <f>IF(E70=0,0,E80/E70)</f>
        <v/>
      </c>
      <c r="F81" s="19">
        <f>IF(F70=0,0,F80/F70)</f>
        <v/>
      </c>
      <c r="G81" s="19">
        <f>IF(G70=0,0,G80/G70)</f>
        <v/>
      </c>
      <c r="H81" s="19">
        <f>IF(H70=0,0,H80/H70)</f>
        <v/>
      </c>
      <c r="I81" s="19">
        <f>IF(I70=0,0,I80/I70)</f>
        <v/>
      </c>
      <c r="J81" s="19">
        <f>IF(J70=0,0,J80/J70)</f>
        <v/>
      </c>
      <c r="K81" s="19">
        <f>IF(K70=0,0,K80/K70)</f>
        <v/>
      </c>
      <c r="L81" s="19">
        <f>IF(L70=0,0,L80/L70)</f>
        <v/>
      </c>
      <c r="M81" s="19">
        <f>IF(M70=0,0,M80/M70)</f>
        <v/>
      </c>
      <c r="N81" s="10" t="inlineStr">
        <is>
          <t>%</t>
        </is>
      </c>
      <c r="O81" s="10" t="inlineStr"/>
    </row>
    <row r="82">
      <c r="B82" s="7" t="inlineStr">
        <is>
          <t>Interest income on invested assets (yield x prior-year cash)</t>
        </is>
      </c>
      <c r="C82" s="20" t="n">
        <v>0</v>
      </c>
      <c r="D82" s="21">
        <f>C104*D51</f>
        <v/>
      </c>
      <c r="E82" s="21">
        <f>D104*E51</f>
        <v/>
      </c>
      <c r="F82" s="21">
        <f>E104*F51</f>
        <v/>
      </c>
      <c r="G82" s="21">
        <f>F104*G51</f>
        <v/>
      </c>
      <c r="H82" s="21">
        <f>G104*H51</f>
        <v/>
      </c>
      <c r="I82" s="21">
        <f>H104*I51</f>
        <v/>
      </c>
      <c r="J82" s="21">
        <f>I104*J51</f>
        <v/>
      </c>
      <c r="K82" s="21">
        <f>J104*K51</f>
        <v/>
      </c>
      <c r="L82" s="21">
        <f>K104*L51</f>
        <v/>
      </c>
      <c r="M82" s="21">
        <f>L104*M51</f>
        <v/>
      </c>
      <c r="N82" s="10" t="inlineStr">
        <is>
          <t>$M</t>
        </is>
      </c>
      <c r="O82" s="10" t="inlineStr">
        <is>
          <t>Last Yr = allocated share of 4.0 net interest + 1.0 other non-operating income.</t>
        </is>
      </c>
    </row>
    <row r="83">
      <c r="B83" s="7" t="inlineStr">
        <is>
          <t>Interest expense on debt (rate x prior-year debt)</t>
        </is>
      </c>
      <c r="C83" s="20" t="n">
        <v>0</v>
      </c>
      <c r="D83" s="21">
        <f>C107*D52</f>
        <v/>
      </c>
      <c r="E83" s="21">
        <f>D107*E52</f>
        <v/>
      </c>
      <c r="F83" s="21">
        <f>E107*F52</f>
        <v/>
      </c>
      <c r="G83" s="21">
        <f>F107*G52</f>
        <v/>
      </c>
      <c r="H83" s="21">
        <f>G107*H52</f>
        <v/>
      </c>
      <c r="I83" s="21">
        <f>H107*I52</f>
        <v/>
      </c>
      <c r="J83" s="21">
        <f>I107*J52</f>
        <v/>
      </c>
      <c r="K83" s="21">
        <f>J107*K52</f>
        <v/>
      </c>
      <c r="L83" s="21">
        <f>K107*L52</f>
        <v/>
      </c>
      <c r="M83" s="21">
        <f>L107*M52</f>
        <v/>
      </c>
      <c r="N83" s="10" t="inlineStr">
        <is>
          <t>$M</t>
        </is>
      </c>
      <c r="O83" s="10" t="inlineStr"/>
    </row>
    <row r="84">
      <c r="B84" s="3" t="inlineStr">
        <is>
          <t>Income before income taxes</t>
        </is>
      </c>
      <c r="C84" s="26">
        <f>C80+C82-C83</f>
        <v/>
      </c>
      <c r="D84" s="26">
        <f>D80+D82-D83</f>
        <v/>
      </c>
      <c r="E84" s="26">
        <f>E80+E82-E83</f>
        <v/>
      </c>
      <c r="F84" s="26">
        <f>F80+F82-F83</f>
        <v/>
      </c>
      <c r="G84" s="26">
        <f>G80+G82-G83</f>
        <v/>
      </c>
      <c r="H84" s="26">
        <f>H80+H82-H83</f>
        <v/>
      </c>
      <c r="I84" s="26">
        <f>I80+I82-I83</f>
        <v/>
      </c>
      <c r="J84" s="26">
        <f>J80+J82-J83</f>
        <v/>
      </c>
      <c r="K84" s="26">
        <f>K80+K82-K83</f>
        <v/>
      </c>
      <c r="L84" s="26">
        <f>L80+L82-L83</f>
        <v/>
      </c>
      <c r="M84" s="26">
        <f>M80+M82-M83</f>
        <v/>
      </c>
      <c r="N84" s="10" t="inlineStr">
        <is>
          <t>$M</t>
        </is>
      </c>
      <c r="O84" s="10" t="inlineStr"/>
    </row>
    <row r="85">
      <c r="B85" s="7" t="inlineStr">
        <is>
          <t>Pre-tax margin %</t>
        </is>
      </c>
      <c r="C85" s="19">
        <f>IF(C70=0,0,C84/C70)</f>
        <v/>
      </c>
      <c r="D85" s="19">
        <f>IF(D70=0,0,D84/D70)</f>
        <v/>
      </c>
      <c r="E85" s="19">
        <f>IF(E70=0,0,E84/E70)</f>
        <v/>
      </c>
      <c r="F85" s="19">
        <f>IF(F70=0,0,F84/F70)</f>
        <v/>
      </c>
      <c r="G85" s="19">
        <f>IF(G70=0,0,G84/G70)</f>
        <v/>
      </c>
      <c r="H85" s="19">
        <f>IF(H70=0,0,H84/H70)</f>
        <v/>
      </c>
      <c r="I85" s="19">
        <f>IF(I70=0,0,I84/I70)</f>
        <v/>
      </c>
      <c r="J85" s="19">
        <f>IF(J70=0,0,J84/J70)</f>
        <v/>
      </c>
      <c r="K85" s="19">
        <f>IF(K70=0,0,K84/K70)</f>
        <v/>
      </c>
      <c r="L85" s="19">
        <f>IF(L70=0,0,L84/L70)</f>
        <v/>
      </c>
      <c r="M85" s="19">
        <f>IF(M70=0,0,M84/M70)</f>
        <v/>
      </c>
      <c r="N85" s="10" t="inlineStr">
        <is>
          <t>%</t>
        </is>
      </c>
      <c r="O85" s="10" t="inlineStr"/>
    </row>
    <row r="86">
      <c r="B86" s="7" t="inlineStr">
        <is>
          <t>Income taxes</t>
        </is>
      </c>
      <c r="C86" s="20" t="n">
        <v>-19.7</v>
      </c>
      <c r="D86" s="21">
        <f>D84*D53</f>
        <v/>
      </c>
      <c r="E86" s="21">
        <f>E84*E53</f>
        <v/>
      </c>
      <c r="F86" s="21">
        <f>F84*F53</f>
        <v/>
      </c>
      <c r="G86" s="21">
        <f>G84*G53</f>
        <v/>
      </c>
      <c r="H86" s="21">
        <f>H84*H53</f>
        <v/>
      </c>
      <c r="I86" s="21">
        <f>I84*I53</f>
        <v/>
      </c>
      <c r="J86" s="21">
        <f>J84*J53</f>
        <v/>
      </c>
      <c r="K86" s="21">
        <f>K84*K53</f>
        <v/>
      </c>
      <c r="L86" s="21">
        <f>L84*L53</f>
        <v/>
      </c>
      <c r="M86" s="21">
        <f>M84*M53</f>
        <v/>
      </c>
      <c r="N86" s="10" t="inlineStr">
        <is>
          <t>$M</t>
        </is>
      </c>
      <c r="O86" s="10" t="inlineStr">
        <is>
          <t>Last Yr = allocated share of 103.7 (26.0% effective rate).</t>
        </is>
      </c>
    </row>
    <row r="87">
      <c r="B87" s="3" t="inlineStr">
        <is>
          <t>NET INCOME</t>
        </is>
      </c>
      <c r="C87" s="26">
        <f>C84-C86</f>
        <v/>
      </c>
      <c r="D87" s="26">
        <f>D84-D86</f>
        <v/>
      </c>
      <c r="E87" s="26">
        <f>E84-E86</f>
        <v/>
      </c>
      <c r="F87" s="26">
        <f>F84-F86</f>
        <v/>
      </c>
      <c r="G87" s="26">
        <f>G84-G86</f>
        <v/>
      </c>
      <c r="H87" s="26">
        <f>H84-H86</f>
        <v/>
      </c>
      <c r="I87" s="26">
        <f>I84-I86</f>
        <v/>
      </c>
      <c r="J87" s="26">
        <f>J84-J86</f>
        <v/>
      </c>
      <c r="K87" s="26">
        <f>K84-K86</f>
        <v/>
      </c>
      <c r="L87" s="26">
        <f>L84-L86</f>
        <v/>
      </c>
      <c r="M87" s="26">
        <f>M84-M86</f>
        <v/>
      </c>
      <c r="N87" s="10" t="inlineStr">
        <is>
          <t>$M</t>
        </is>
      </c>
      <c r="O87" s="10" t="inlineStr"/>
    </row>
    <row r="88">
      <c r="B88" s="7" t="inlineStr">
        <is>
          <t>Net margin %</t>
        </is>
      </c>
      <c r="C88" s="19">
        <f>IF(C70=0,0,C87/C70)</f>
        <v/>
      </c>
      <c r="D88" s="19">
        <f>IF(D70=0,0,D87/D70)</f>
        <v/>
      </c>
      <c r="E88" s="19">
        <f>IF(E70=0,0,E87/E70)</f>
        <v/>
      </c>
      <c r="F88" s="19">
        <f>IF(F70=0,0,F87/F70)</f>
        <v/>
      </c>
      <c r="G88" s="19">
        <f>IF(G70=0,0,G87/G70)</f>
        <v/>
      </c>
      <c r="H88" s="19">
        <f>IF(H70=0,0,H87/H70)</f>
        <v/>
      </c>
      <c r="I88" s="19">
        <f>IF(I70=0,0,I87/I70)</f>
        <v/>
      </c>
      <c r="J88" s="19">
        <f>IF(J70=0,0,J87/J70)</f>
        <v/>
      </c>
      <c r="K88" s="19">
        <f>IF(K70=0,0,K87/K70)</f>
        <v/>
      </c>
      <c r="L88" s="19">
        <f>IF(L70=0,0,L87/L70)</f>
        <v/>
      </c>
      <c r="M88" s="19">
        <f>IF(M70=0,0,M87/M70)</f>
        <v/>
      </c>
      <c r="N88" s="10" t="inlineStr">
        <is>
          <t>%</t>
        </is>
      </c>
      <c r="O88" s="10" t="inlineStr"/>
    </row>
    <row r="89"/>
    <row r="90">
      <c r="A90" s="22" t="inlineStr">
        <is>
          <t>Valuation</t>
        </is>
      </c>
      <c r="B90" s="23" t="inlineStr">
        <is>
          <t>DISTRIBUTIONS &amp; VALUATION (profits-released approach)</t>
        </is>
      </c>
      <c r="C90" s="24" t="n"/>
      <c r="D90" s="24" t="n"/>
      <c r="E90" s="24" t="n"/>
      <c r="F90" s="24" t="n"/>
      <c r="G90" s="24" t="n"/>
      <c r="H90" s="24" t="n"/>
      <c r="I90" s="24" t="n"/>
      <c r="J90" s="24" t="n"/>
      <c r="K90" s="24" t="n"/>
      <c r="L90" s="24" t="n"/>
      <c r="M90" s="24" t="n"/>
      <c r="N90" s="24" t="n"/>
      <c r="O90" s="24" t="n"/>
    </row>
    <row r="91">
      <c r="B91" s="7" t="inlineStr">
        <is>
          <t>Distributions to shareholders (dividends + buybacks = net income)</t>
        </is>
      </c>
      <c r="C91" s="21">
        <f>C87</f>
        <v/>
      </c>
      <c r="D91" s="21">
        <f>D87</f>
        <v/>
      </c>
      <c r="E91" s="21">
        <f>E87</f>
        <v/>
      </c>
      <c r="F91" s="21">
        <f>F87</f>
        <v/>
      </c>
      <c r="G91" s="21">
        <f>G87</f>
        <v/>
      </c>
      <c r="H91" s="21">
        <f>H87</f>
        <v/>
      </c>
      <c r="I91" s="21">
        <f>I87</f>
        <v/>
      </c>
      <c r="J91" s="21">
        <f>J87</f>
        <v/>
      </c>
      <c r="K91" s="21">
        <f>K87</f>
        <v/>
      </c>
      <c r="L91" s="21">
        <f>L87</f>
        <v/>
      </c>
      <c r="M91" s="21">
        <f>M87</f>
        <v/>
      </c>
      <c r="N91" s="10" t="inlineStr">
        <is>
          <t>$M</t>
        </is>
      </c>
      <c r="O91" s="10" t="inlineStr">
        <is>
          <t>Profits released: 100% of net income distributed (dividends + buybacks).</t>
        </is>
      </c>
    </row>
    <row r="92">
      <c r="B92" s="7" t="inlineStr">
        <is>
          <t>Earnings retained in equity</t>
        </is>
      </c>
      <c r="C92" s="21">
        <f>C87-C91</f>
        <v/>
      </c>
      <c r="D92" s="21">
        <f>D87-D91</f>
        <v/>
      </c>
      <c r="E92" s="21">
        <f>E87-E91</f>
        <v/>
      </c>
      <c r="F92" s="21">
        <f>F87-F91</f>
        <v/>
      </c>
      <c r="G92" s="21">
        <f>G87-G91</f>
        <v/>
      </c>
      <c r="H92" s="21">
        <f>H87-H91</f>
        <v/>
      </c>
      <c r="I92" s="21">
        <f>I87-I91</f>
        <v/>
      </c>
      <c r="J92" s="21">
        <f>J87-J91</f>
        <v/>
      </c>
      <c r="K92" s="21">
        <f>K87-K91</f>
        <v/>
      </c>
      <c r="L92" s="21">
        <f>L87-L91</f>
        <v/>
      </c>
      <c r="M92" s="21">
        <f>M87-M91</f>
        <v/>
      </c>
      <c r="N92" s="10" t="inlineStr">
        <is>
          <t>$M</t>
        </is>
      </c>
      <c r="O92" s="10" t="inlineStr">
        <is>
          <t>Zero under profits released; would be positive under profits retained.</t>
        </is>
      </c>
    </row>
    <row r="93">
      <c r="B93" s="7" t="inlineStr">
        <is>
          <t>Distributable cash flow to shareholders (discounted below)</t>
        </is>
      </c>
      <c r="D93" s="21">
        <f>D91</f>
        <v/>
      </c>
      <c r="E93" s="21">
        <f>E91</f>
        <v/>
      </c>
      <c r="F93" s="21">
        <f>F91</f>
        <v/>
      </c>
      <c r="G93" s="21">
        <f>G91</f>
        <v/>
      </c>
      <c r="H93" s="21">
        <f>H91</f>
        <v/>
      </c>
      <c r="I93" s="21">
        <f>I91</f>
        <v/>
      </c>
      <c r="J93" s="21">
        <f>J91</f>
        <v/>
      </c>
      <c r="K93" s="21">
        <f>K91</f>
        <v/>
      </c>
      <c r="L93" s="21">
        <f>L91</f>
        <v/>
      </c>
      <c r="M93" s="21">
        <f>M91</f>
        <v/>
      </c>
      <c r="N93" s="10" t="inlineStr">
        <is>
          <t>$M</t>
        </is>
      </c>
      <c r="O93" s="10" t="inlineStr"/>
    </row>
    <row r="94">
      <c r="B94" s="7" t="inlineStr">
        <is>
          <t>Discount rate used (from scenario block)</t>
        </is>
      </c>
      <c r="C94" s="19">
        <f>D54</f>
        <v/>
      </c>
      <c r="N94" s="10" t="inlineStr">
        <is>
          <t>%</t>
        </is>
      </c>
      <c r="O94" s="10" t="inlineStr">
        <is>
          <t>Reads the scenario-run discount rate so a discount-rate shock flows through.</t>
        </is>
      </c>
    </row>
    <row r="95">
      <c r="B95" s="7" t="inlineStr">
        <is>
          <t>Terminal value = shareholders' equity at end of FY2036</t>
        </is>
      </c>
      <c r="C95" s="21">
        <f>M110</f>
        <v/>
      </c>
      <c r="N95" s="10" t="inlineStr">
        <is>
          <t>$M</t>
        </is>
      </c>
      <c r="O95" s="10" t="inlineStr"/>
    </row>
    <row r="96">
      <c r="B96" s="7" t="inlineStr">
        <is>
          <t>PV of FY2027-FY2036 distributable cash flows</t>
        </is>
      </c>
      <c r="C96" s="21">
        <f>NPV(C94,D93:M93)</f>
        <v/>
      </c>
      <c r="N96" s="10" t="inlineStr">
        <is>
          <t>$M</t>
        </is>
      </c>
      <c r="O96" s="10" t="inlineStr">
        <is>
          <t>NPV over the 10 model years (end-of-year cash flows).</t>
        </is>
      </c>
    </row>
    <row r="97">
      <c r="B97" s="7" t="inlineStr">
        <is>
          <t>PV of terminal value</t>
        </is>
      </c>
      <c r="C97" s="21">
        <f>C95/(1+C94)^10</f>
        <v/>
      </c>
      <c r="N97" s="10" t="inlineStr">
        <is>
          <t>$M</t>
        </is>
      </c>
      <c r="O97" s="10" t="inlineStr">
        <is>
          <t>Terminal equity discounted 10 years.</t>
        </is>
      </c>
    </row>
    <row r="98">
      <c r="B98" s="3" t="inlineStr">
        <is>
          <t>SEGMENT VALUE - BASELINE (snapshot, hard-coded for 3(d) comparison)</t>
        </is>
      </c>
      <c r="C98" s="27" t="n">
        <v>-263.36</v>
      </c>
      <c r="N98" s="10" t="inlineStr">
        <is>
          <t>$M</t>
        </is>
      </c>
      <c r="O98" s="10" t="inlineStr">
        <is>
          <t>Hard-coded copy of the live value (blue). In 3(d), shocks move the SCENARIO value; this stays fixed.</t>
        </is>
      </c>
    </row>
    <row r="99">
      <c r="B99" s="3" t="inlineStr">
        <is>
          <t>SEGMENT VALUE - SCENARIO RUN (live formula)</t>
        </is>
      </c>
      <c r="C99" s="26">
        <f>C96+C97</f>
        <v/>
      </c>
      <c r="N99" s="10" t="inlineStr">
        <is>
          <t>$M</t>
        </is>
      </c>
      <c r="O99" s="10" t="inlineStr">
        <is>
          <t>PV of distributable cash flows + PV of terminal equity.</t>
        </is>
      </c>
    </row>
    <row r="100">
      <c r="B100" s="7" t="inlineStr">
        <is>
          <t>% change vs baseline</t>
        </is>
      </c>
      <c r="C100" s="19">
        <f>IF(C98=0,0,C99/C98-1)</f>
        <v/>
      </c>
      <c r="N100" s="10" t="inlineStr">
        <is>
          <t>%</t>
        </is>
      </c>
      <c r="O100" s="10" t="inlineStr"/>
    </row>
    <row r="101">
      <c r="B101" s="7" t="inlineStr">
        <is>
          <t>$ change vs baseline</t>
        </is>
      </c>
      <c r="C101" s="21">
        <f>C99-C98</f>
        <v/>
      </c>
      <c r="N101" s="10" t="inlineStr">
        <is>
          <t>$M</t>
        </is>
      </c>
      <c r="O101" s="10" t="inlineStr"/>
    </row>
    <row r="102"/>
    <row r="103">
      <c r="A103" s="22" t="inlineStr">
        <is>
          <t>Balance sheet</t>
        </is>
      </c>
      <c r="B103" s="23" t="inlineStr">
        <is>
          <t>BALANCE SHEET (simplified, cash basis, year-end)</t>
        </is>
      </c>
      <c r="C103" s="24" t="n"/>
      <c r="D103" s="24" t="n"/>
      <c r="E103" s="24" t="n"/>
      <c r="F103" s="24" t="n"/>
      <c r="G103" s="24" t="n"/>
      <c r="H103" s="24" t="n"/>
      <c r="I103" s="24" t="n"/>
      <c r="J103" s="24" t="n"/>
      <c r="K103" s="24" t="n"/>
      <c r="L103" s="24" t="n"/>
      <c r="M103" s="24" t="n"/>
      <c r="N103" s="24" t="n"/>
      <c r="O103" s="24" t="n"/>
    </row>
    <row r="104">
      <c r="B104" s="7" t="inlineStr">
        <is>
          <t>Invested assets (cash &amp; cash equivalents)</t>
        </is>
      </c>
      <c r="C104" s="20" t="n">
        <v>5.1</v>
      </c>
      <c r="D104" s="21">
        <f>C104+D92</f>
        <v/>
      </c>
      <c r="E104" s="21">
        <f>D104+E92</f>
        <v/>
      </c>
      <c r="F104" s="21">
        <f>E104+F92</f>
        <v/>
      </c>
      <c r="G104" s="21">
        <f>F104+G92</f>
        <v/>
      </c>
      <c r="H104" s="21">
        <f>G104+H92</f>
        <v/>
      </c>
      <c r="I104" s="21">
        <f>H104+I92</f>
        <v/>
      </c>
      <c r="J104" s="21">
        <f>I104+J92</f>
        <v/>
      </c>
      <c r="K104" s="21">
        <f>J104+K92</f>
        <v/>
      </c>
      <c r="L104" s="21">
        <f>K104+L92</f>
        <v/>
      </c>
      <c r="M104" s="21">
        <f>L104+M92</f>
        <v/>
      </c>
      <c r="N104" s="10" t="inlineStr">
        <is>
          <t>$M</t>
        </is>
      </c>
      <c r="O104" s="10" t="inlineStr">
        <is>
          <t>Static under profits released (grows only by retained earnings).</t>
        </is>
      </c>
    </row>
    <row r="105">
      <c r="B105" s="7" t="inlineStr">
        <is>
          <t>Inventory and other non-depreciating operating assets</t>
        </is>
      </c>
      <c r="C105" s="20" t="n">
        <v>11.2</v>
      </c>
      <c r="D105" s="21">
        <f>C105</f>
        <v/>
      </c>
      <c r="E105" s="21">
        <f>D105</f>
        <v/>
      </c>
      <c r="F105" s="21">
        <f>E105</f>
        <v/>
      </c>
      <c r="G105" s="21">
        <f>F105</f>
        <v/>
      </c>
      <c r="H105" s="21">
        <f>G105</f>
        <v/>
      </c>
      <c r="I105" s="21">
        <f>H105</f>
        <v/>
      </c>
      <c r="J105" s="21">
        <f>I105</f>
        <v/>
      </c>
      <c r="K105" s="21">
        <f>J105</f>
        <v/>
      </c>
      <c r="L105" s="21">
        <f>K105</f>
        <v/>
      </c>
      <c r="M105" s="21">
        <f>L105</f>
        <v/>
      </c>
      <c r="N105" s="10" t="inlineStr">
        <is>
          <t>$M</t>
        </is>
      </c>
      <c r="O105" s="10" t="inlineStr">
        <is>
          <t>Non-depreciating operating asset held flat (no working-capital build modelled).</t>
        </is>
      </c>
    </row>
    <row r="106">
      <c r="B106" s="3" t="inlineStr">
        <is>
          <t>Total assets</t>
        </is>
      </c>
      <c r="C106" s="26">
        <f>C104+C105</f>
        <v/>
      </c>
      <c r="D106" s="26">
        <f>D104+D105</f>
        <v/>
      </c>
      <c r="E106" s="26">
        <f>E104+E105</f>
        <v/>
      </c>
      <c r="F106" s="26">
        <f>F104+F105</f>
        <v/>
      </c>
      <c r="G106" s="26">
        <f>G104+G105</f>
        <v/>
      </c>
      <c r="H106" s="26">
        <f>H104+H105</f>
        <v/>
      </c>
      <c r="I106" s="26">
        <f>I104+I105</f>
        <v/>
      </c>
      <c r="J106" s="26">
        <f>J104+J105</f>
        <v/>
      </c>
      <c r="K106" s="26">
        <f>K104+K105</f>
        <v/>
      </c>
      <c r="L106" s="26">
        <f>L104+L105</f>
        <v/>
      </c>
      <c r="M106" s="26">
        <f>M104+M105</f>
        <v/>
      </c>
      <c r="N106" s="10" t="inlineStr">
        <is>
          <t>$M</t>
        </is>
      </c>
      <c r="O106" s="10" t="inlineStr"/>
    </row>
    <row r="107">
      <c r="B107" s="7" t="inlineStr">
        <is>
          <t>Debt</t>
        </is>
      </c>
      <c r="C107" s="20" t="n">
        <v>0</v>
      </c>
      <c r="D107" s="21">
        <f>C107</f>
        <v/>
      </c>
      <c r="E107" s="21">
        <f>D107</f>
        <v/>
      </c>
      <c r="F107" s="21">
        <f>E107</f>
        <v/>
      </c>
      <c r="G107" s="21">
        <f>F107</f>
        <v/>
      </c>
      <c r="H107" s="21">
        <f>G107</f>
        <v/>
      </c>
      <c r="I107" s="21">
        <f>H107</f>
        <v/>
      </c>
      <c r="J107" s="21">
        <f>I107</f>
        <v/>
      </c>
      <c r="K107" s="21">
        <f>J107</f>
        <v/>
      </c>
      <c r="L107" s="21">
        <f>K107</f>
        <v/>
      </c>
      <c r="M107" s="21">
        <f>L107</f>
        <v/>
      </c>
      <c r="N107" s="10" t="inlineStr">
        <is>
          <t>$M</t>
        </is>
      </c>
      <c r="O107" s="10" t="inlineStr"/>
    </row>
    <row r="108">
      <c r="B108" s="7" t="inlineStr">
        <is>
          <t>Other liabilities, net (calibrated to reported equity)</t>
        </is>
      </c>
      <c r="C108" s="20" t="n">
        <v>4.9</v>
      </c>
      <c r="D108" s="21">
        <f>C108</f>
        <v/>
      </c>
      <c r="E108" s="21">
        <f>D108</f>
        <v/>
      </c>
      <c r="F108" s="21">
        <f>E108</f>
        <v/>
      </c>
      <c r="G108" s="21">
        <f>F108</f>
        <v/>
      </c>
      <c r="H108" s="21">
        <f>G108</f>
        <v/>
      </c>
      <c r="I108" s="21">
        <f>H108</f>
        <v/>
      </c>
      <c r="J108" s="21">
        <f>I108</f>
        <v/>
      </c>
      <c r="K108" s="21">
        <f>J108</f>
        <v/>
      </c>
      <c r="L108" s="21">
        <f>K108</f>
        <v/>
      </c>
      <c r="M108" s="21">
        <f>L108</f>
        <v/>
      </c>
      <c r="N108" s="10" t="inlineStr">
        <is>
          <t>$M</t>
        </is>
      </c>
      <c r="O108" s="10" t="inlineStr">
        <is>
          <t>Plug so that FY2026A simplified equity = reported shareholders' equity 1,966.2.</t>
        </is>
      </c>
    </row>
    <row r="109">
      <c r="B109" s="3" t="inlineStr">
        <is>
          <t>Total liabilities</t>
        </is>
      </c>
      <c r="C109" s="26">
        <f>C107+C108</f>
        <v/>
      </c>
      <c r="D109" s="26">
        <f>D107+D108</f>
        <v/>
      </c>
      <c r="E109" s="26">
        <f>E107+E108</f>
        <v/>
      </c>
      <c r="F109" s="26">
        <f>F107+F108</f>
        <v/>
      </c>
      <c r="G109" s="26">
        <f>G107+G108</f>
        <v/>
      </c>
      <c r="H109" s="26">
        <f>H107+H108</f>
        <v/>
      </c>
      <c r="I109" s="26">
        <f>I107+I108</f>
        <v/>
      </c>
      <c r="J109" s="26">
        <f>J107+J108</f>
        <v/>
      </c>
      <c r="K109" s="26">
        <f>K107+K108</f>
        <v/>
      </c>
      <c r="L109" s="26">
        <f>L107+L108</f>
        <v/>
      </c>
      <c r="M109" s="26">
        <f>M107+M108</f>
        <v/>
      </c>
      <c r="N109" s="10" t="inlineStr">
        <is>
          <t>$M</t>
        </is>
      </c>
      <c r="O109" s="10" t="inlineStr"/>
    </row>
    <row r="110">
      <c r="B110" s="3" t="inlineStr">
        <is>
          <t>SHAREHOLDERS' EQUITY</t>
        </is>
      </c>
      <c r="C110" s="26">
        <f>C106-C109</f>
        <v/>
      </c>
      <c r="D110" s="26">
        <f>D106-D109</f>
        <v/>
      </c>
      <c r="E110" s="26">
        <f>E106-E109</f>
        <v/>
      </c>
      <c r="F110" s="26">
        <f>F106-F109</f>
        <v/>
      </c>
      <c r="G110" s="26">
        <f>G106-G109</f>
        <v/>
      </c>
      <c r="H110" s="26">
        <f>H106-H109</f>
        <v/>
      </c>
      <c r="I110" s="26">
        <f>I106-I109</f>
        <v/>
      </c>
      <c r="J110" s="26">
        <f>J106-J109</f>
        <v/>
      </c>
      <c r="K110" s="26">
        <f>K106-K109</f>
        <v/>
      </c>
      <c r="L110" s="26">
        <f>L106-L109</f>
        <v/>
      </c>
      <c r="M110" s="26">
        <f>M106-M109</f>
        <v/>
      </c>
      <c r="N110" s="10" t="inlineStr">
        <is>
          <t>$M</t>
        </is>
      </c>
      <c r="O110" s="10" t="inlineStr">
        <is>
          <t>FY2026A total = 1,966.2 reported shareholders' equity.</t>
        </is>
      </c>
    </row>
    <row r="111">
      <c r="B111" s="7" t="inlineStr">
        <is>
          <t>Equity roll-forward check: Equity(t) - [Equity(t-1) + Net income(t) - Distributions(t)]  (= 0)</t>
        </is>
      </c>
      <c r="D111" s="21">
        <f>D110-(C110+D87-D91)</f>
        <v/>
      </c>
      <c r="E111" s="21">
        <f>E110-(D110+E87-E91)</f>
        <v/>
      </c>
      <c r="F111" s="21">
        <f>F110-(E110+F87-F91)</f>
        <v/>
      </c>
      <c r="G111" s="21">
        <f>G110-(F110+G87-G91)</f>
        <v/>
      </c>
      <c r="H111" s="21">
        <f>H110-(G110+H87-H91)</f>
        <v/>
      </c>
      <c r="I111" s="21">
        <f>I110-(H110+I87-I91)</f>
        <v/>
      </c>
      <c r="J111" s="21">
        <f>J110-(I110+J87-J91)</f>
        <v/>
      </c>
      <c r="K111" s="21">
        <f>K110-(J110+K87-K91)</f>
        <v/>
      </c>
      <c r="L111" s="21">
        <f>L110-(K110+L87-L91)</f>
        <v/>
      </c>
      <c r="M111" s="21">
        <f>M110-(L110+M87-M91)</f>
        <v/>
      </c>
      <c r="N111" s="10" t="inlineStr">
        <is>
          <t>$M</t>
        </is>
      </c>
      <c r="O111" s="10" t="inlineStr"/>
    </row>
    <row r="112">
      <c r="B112" s="7" t="inlineStr">
        <is>
          <t>Balance check: Total assets - Total liabilities - Equity  (= 0)</t>
        </is>
      </c>
      <c r="C112" s="21">
        <f>C106-C109-C110</f>
        <v/>
      </c>
      <c r="D112" s="21">
        <f>D106-D109-D110</f>
        <v/>
      </c>
      <c r="E112" s="21">
        <f>E106-E109-E110</f>
        <v/>
      </c>
      <c r="F112" s="21">
        <f>F106-F109-F110</f>
        <v/>
      </c>
      <c r="G112" s="21">
        <f>G106-G109-G110</f>
        <v/>
      </c>
      <c r="H112" s="21">
        <f>H106-H109-H110</f>
        <v/>
      </c>
      <c r="I112" s="21">
        <f>I106-I109-I110</f>
        <v/>
      </c>
      <c r="J112" s="21">
        <f>J106-J109-J110</f>
        <v/>
      </c>
      <c r="K112" s="21">
        <f>K106-K109-K110</f>
        <v/>
      </c>
      <c r="L112" s="21">
        <f>L106-L109-L110</f>
        <v/>
      </c>
      <c r="M112" s="21">
        <f>M106-M109-M110</f>
        <v/>
      </c>
      <c r="N112" s="10" t="inlineStr">
        <is>
          <t>$M</t>
        </is>
      </c>
      <c r="O112" s="10" t="inlineStr"/>
    </row>
  </sheetData>
  <pageMargins left="0.75" right="0.75" top="1" bottom="1" header="0.5" footer="0.5"/>
  <pageSetup orientation="landscape" paperSize="1" fitToHeight="0" fitToWidth="1"/>
  <headerFooter>
    <oddHeader/>
    <oddFooter>&amp;C&amp;A - Page &amp;P of &amp;N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O128"/>
  <sheetViews>
    <sheetView zoomScale="90" workbookViewId="0">
      <pane xSplit="2" ySplit="3" topLeftCell="C4" activePane="bottomRight" state="frozen"/>
      <selection pane="topRight"/>
      <selection pane="bottomLeft"/>
      <selection pane="bottomRight" activeCell="A1" sqref="A1"/>
    </sheetView>
  </sheetViews>
  <sheetFormatPr baseColWidth="8" defaultRowHeight="15"/>
  <cols>
    <col width="13" customWidth="1" min="1" max="1"/>
    <col width="66" customWidth="1" min="2" max="2"/>
    <col width="17" customWidth="1" min="3" max="3"/>
    <col width="11.5" customWidth="1" min="4" max="4"/>
    <col width="11.5" customWidth="1" min="5" max="5"/>
    <col width="11.5" customWidth="1" min="6" max="6"/>
    <col width="11.5" customWidth="1" min="7" max="7"/>
    <col width="11.5" customWidth="1" min="8" max="8"/>
    <col width="11.5" customWidth="1" min="9" max="9"/>
    <col width="11.5" customWidth="1" min="10" max="10"/>
    <col width="11.5" customWidth="1" min="11" max="11"/>
    <col width="11.5" customWidth="1" min="12" max="12"/>
    <col width="11.5" customWidth="1" min="13" max="13"/>
    <col width="17" customWidth="1" min="14" max="14"/>
    <col width="60" customWidth="1" min="15" max="15"/>
  </cols>
  <sheetData>
    <row r="1">
      <c r="A1" s="1" t="inlineStr">
        <is>
          <t>Signet Jewelers - Baseline Value-Based ERM Model - TOTAL COMPANY (sum of Model - NA, Model - INTL, Model - OTHER)</t>
        </is>
      </c>
    </row>
    <row r="2">
      <c r="A2" s="10" t="inlineStr">
        <is>
          <t>Same layout as the segment tabs. The three assumption blocks are intentionally blank: assumptions are applied at the business-segment level. Every financial-statement line is the sum of the three segment tabs (green); ratios and key metrics are recomputed here at the total-company level.</t>
        </is>
      </c>
    </row>
    <row r="3">
      <c r="A3" s="11" t="inlineStr">
        <is>
          <t>Section</t>
        </is>
      </c>
      <c r="B3" s="11" t="inlineStr">
        <is>
          <t>Line item</t>
        </is>
      </c>
      <c r="C3" s="15" t="inlineStr">
        <is>
          <t>Last Yr (FY2026A)</t>
        </is>
      </c>
      <c r="D3" s="15" t="inlineStr">
        <is>
          <t>FY2027</t>
        </is>
      </c>
      <c r="E3" s="15" t="inlineStr">
        <is>
          <t>FY2028</t>
        </is>
      </c>
      <c r="F3" s="15" t="inlineStr">
        <is>
          <t>FY2029</t>
        </is>
      </c>
      <c r="G3" s="15" t="inlineStr">
        <is>
          <t>FY2030</t>
        </is>
      </c>
      <c r="H3" s="15" t="inlineStr">
        <is>
          <t>FY2031</t>
        </is>
      </c>
      <c r="I3" s="15" t="inlineStr">
        <is>
          <t>FY2032</t>
        </is>
      </c>
      <c r="J3" s="15" t="inlineStr">
        <is>
          <t>FY2033</t>
        </is>
      </c>
      <c r="K3" s="15" t="inlineStr">
        <is>
          <t>FY2034</t>
        </is>
      </c>
      <c r="L3" s="15" t="inlineStr">
        <is>
          <t>FY2035</t>
        </is>
      </c>
      <c r="M3" s="15" t="inlineStr">
        <is>
          <t>FY2036</t>
        </is>
      </c>
      <c r="N3" s="11" t="inlineStr">
        <is>
          <t>Units</t>
        </is>
      </c>
      <c r="O3" s="11" t="inlineStr">
        <is>
          <t>Notes</t>
        </is>
      </c>
    </row>
    <row r="4"/>
    <row r="5">
      <c r="A5" s="12" t="inlineStr">
        <is>
          <t>BASELINE ASSUMPTIONS - blank at total level (set in the segment tabs)</t>
        </is>
      </c>
      <c r="B5" s="13" t="n"/>
      <c r="C5" s="13" t="n"/>
      <c r="D5" s="13" t="n"/>
      <c r="E5" s="13" t="n"/>
      <c r="F5" s="13" t="n"/>
      <c r="G5" s="13" t="n"/>
      <c r="H5" s="13" t="n"/>
      <c r="I5" s="13" t="n"/>
      <c r="J5" s="13" t="n"/>
      <c r="K5" s="13" t="n"/>
      <c r="L5" s="13" t="n"/>
      <c r="M5" s="13" t="n"/>
      <c r="N5" s="13" t="n"/>
      <c r="O5" s="13" t="n"/>
    </row>
    <row r="6">
      <c r="B6" s="7" t="inlineStr">
        <is>
          <t>Gross store openings (number of stores)</t>
        </is>
      </c>
      <c r="C6" s="28" t="n"/>
      <c r="D6" s="28" t="n"/>
      <c r="E6" s="28" t="n"/>
      <c r="F6" s="28" t="n"/>
      <c r="G6" s="28" t="n"/>
      <c r="H6" s="28" t="n"/>
      <c r="I6" s="28" t="n"/>
      <c r="J6" s="28" t="n"/>
      <c r="K6" s="28" t="n"/>
      <c r="L6" s="28" t="n"/>
      <c r="M6" s="28" t="n"/>
      <c r="N6" s="10" t="inlineStr">
        <is>
          <t># stores</t>
        </is>
      </c>
      <c r="O6" s="10" t="inlineStr">
        <is>
          <t>n/a - segment-level assumption</t>
        </is>
      </c>
    </row>
    <row r="7">
      <c r="B7" s="7" t="inlineStr">
        <is>
          <t>Store closures (number of stores)</t>
        </is>
      </c>
      <c r="C7" s="28" t="n"/>
      <c r="D7" s="28" t="n"/>
      <c r="E7" s="28" t="n"/>
      <c r="F7" s="28" t="n"/>
      <c r="G7" s="28" t="n"/>
      <c r="H7" s="28" t="n"/>
      <c r="I7" s="28" t="n"/>
      <c r="J7" s="28" t="n"/>
      <c r="K7" s="28" t="n"/>
      <c r="L7" s="28" t="n"/>
      <c r="M7" s="28" t="n"/>
      <c r="N7" s="10" t="inlineStr">
        <is>
          <t># stores</t>
        </is>
      </c>
      <c r="O7" s="10" t="inlineStr">
        <is>
          <t>n/a - segment-level assumption</t>
        </is>
      </c>
    </row>
    <row r="8">
      <c r="B8" s="7" t="inlineStr">
        <is>
          <t>Same-store sales growth (applied to merchandise sales per average store)</t>
        </is>
      </c>
      <c r="C8" s="28" t="n"/>
      <c r="D8" s="28" t="n"/>
      <c r="E8" s="28" t="n"/>
      <c r="F8" s="28" t="n"/>
      <c r="G8" s="28" t="n"/>
      <c r="H8" s="28" t="n"/>
      <c r="I8" s="28" t="n"/>
      <c r="J8" s="28" t="n"/>
      <c r="K8" s="28" t="n"/>
      <c r="L8" s="28" t="n"/>
      <c r="M8" s="28" t="n"/>
      <c r="N8" s="10" t="inlineStr">
        <is>
          <t>% p.a.</t>
        </is>
      </c>
      <c r="O8" s="10" t="inlineStr">
        <is>
          <t>n/a - segment-level assumption</t>
        </is>
      </c>
    </row>
    <row r="9">
      <c r="B9" s="7" t="inlineStr">
        <is>
          <t>E-commerce merchandise sales growth</t>
        </is>
      </c>
      <c r="C9" s="28" t="n"/>
      <c r="D9" s="28" t="n"/>
      <c r="E9" s="28" t="n"/>
      <c r="F9" s="28" t="n"/>
      <c r="G9" s="28" t="n"/>
      <c r="H9" s="28" t="n"/>
      <c r="I9" s="28" t="n"/>
      <c r="J9" s="28" t="n"/>
      <c r="K9" s="28" t="n"/>
      <c r="L9" s="28" t="n"/>
      <c r="M9" s="28" t="n"/>
      <c r="N9" s="10" t="inlineStr">
        <is>
          <t>% p.a.</t>
        </is>
      </c>
      <c r="O9" s="10" t="inlineStr">
        <is>
          <t>n/a - segment-level assumption</t>
        </is>
      </c>
    </row>
    <row r="10">
      <c r="B10" s="7" t="inlineStr">
        <is>
          <t>Services attach rate (services revenue as % of merchandise sales)</t>
        </is>
      </c>
      <c r="C10" s="28" t="n"/>
      <c r="D10" s="28" t="n"/>
      <c r="E10" s="28" t="n"/>
      <c r="F10" s="28" t="n"/>
      <c r="G10" s="28" t="n"/>
      <c r="H10" s="28" t="n"/>
      <c r="I10" s="28" t="n"/>
      <c r="J10" s="28" t="n"/>
      <c r="K10" s="28" t="n"/>
      <c r="L10" s="28" t="n"/>
      <c r="M10" s="28" t="n"/>
      <c r="N10" s="10" t="inlineStr">
        <is>
          <t>% of merch.</t>
        </is>
      </c>
      <c r="O10" s="10" t="inlineStr">
        <is>
          <t>n/a - segment-level assumption</t>
        </is>
      </c>
    </row>
    <row r="11">
      <c r="B11" s="7" t="inlineStr">
        <is>
          <t>Other (non-retail / diamond sourcing) revenue growth</t>
        </is>
      </c>
      <c r="C11" s="28" t="n"/>
      <c r="D11" s="28" t="n"/>
      <c r="E11" s="28" t="n"/>
      <c r="F11" s="28" t="n"/>
      <c r="G11" s="28" t="n"/>
      <c r="H11" s="28" t="n"/>
      <c r="I11" s="28" t="n"/>
      <c r="J11" s="28" t="n"/>
      <c r="K11" s="28" t="n"/>
      <c r="L11" s="28" t="n"/>
      <c r="M11" s="28" t="n"/>
      <c r="N11" s="10" t="inlineStr">
        <is>
          <t>% p.a.</t>
        </is>
      </c>
      <c r="O11" s="10" t="inlineStr">
        <is>
          <t>n/a - segment-level assumption</t>
        </is>
      </c>
    </row>
    <row r="12">
      <c r="B12" s="7" t="inlineStr">
        <is>
          <t>Cost of sales (incl. store occupancy) as % of total sales</t>
        </is>
      </c>
      <c r="C12" s="28" t="n"/>
      <c r="D12" s="28" t="n"/>
      <c r="E12" s="28" t="n"/>
      <c r="F12" s="28" t="n"/>
      <c r="G12" s="28" t="n"/>
      <c r="H12" s="28" t="n"/>
      <c r="I12" s="28" t="n"/>
      <c r="J12" s="28" t="n"/>
      <c r="K12" s="28" t="n"/>
      <c r="L12" s="28" t="n"/>
      <c r="M12" s="28" t="n"/>
      <c r="N12" s="10" t="inlineStr">
        <is>
          <t>% of sales</t>
        </is>
      </c>
      <c r="O12" s="10" t="inlineStr">
        <is>
          <t>n/a - segment-level assumption</t>
        </is>
      </c>
    </row>
    <row r="13">
      <c r="B13" s="7" t="inlineStr">
        <is>
          <t>Variable SG&amp;A (store payroll, advertising, credit) as % of total sales</t>
        </is>
      </c>
      <c r="C13" s="28" t="n"/>
      <c r="D13" s="28" t="n"/>
      <c r="E13" s="28" t="n"/>
      <c r="F13" s="28" t="n"/>
      <c r="G13" s="28" t="n"/>
      <c r="H13" s="28" t="n"/>
      <c r="I13" s="28" t="n"/>
      <c r="J13" s="28" t="n"/>
      <c r="K13" s="28" t="n"/>
      <c r="L13" s="28" t="n"/>
      <c r="M13" s="28" t="n"/>
      <c r="N13" s="10" t="inlineStr">
        <is>
          <t>% of sales</t>
        </is>
      </c>
      <c r="O13" s="10" t="inlineStr">
        <is>
          <t>n/a - segment-level assumption</t>
        </is>
      </c>
    </row>
    <row r="14">
      <c r="B14" s="7" t="inlineStr">
        <is>
          <t>Fixed SG&amp;A inflation (corporate, support, fixed store overhead)</t>
        </is>
      </c>
      <c r="C14" s="28" t="n"/>
      <c r="D14" s="28" t="n"/>
      <c r="E14" s="28" t="n"/>
      <c r="F14" s="28" t="n"/>
      <c r="G14" s="28" t="n"/>
      <c r="H14" s="28" t="n"/>
      <c r="I14" s="28" t="n"/>
      <c r="J14" s="28" t="n"/>
      <c r="K14" s="28" t="n"/>
      <c r="L14" s="28" t="n"/>
      <c r="M14" s="28" t="n"/>
      <c r="N14" s="10" t="inlineStr">
        <is>
          <t>% p.a.</t>
        </is>
      </c>
      <c r="O14" s="10" t="inlineStr">
        <is>
          <t>n/a - segment-level assumption</t>
        </is>
      </c>
    </row>
    <row r="15">
      <c r="B15" s="7" t="inlineStr">
        <is>
          <t>Cost-savings initiatives (incremental run-rate cut to fixed SG&amp;A)</t>
        </is>
      </c>
      <c r="C15" s="28" t="n"/>
      <c r="D15" s="28" t="n"/>
      <c r="E15" s="28" t="n"/>
      <c r="F15" s="28" t="n"/>
      <c r="G15" s="28" t="n"/>
      <c r="H15" s="28" t="n"/>
      <c r="I15" s="28" t="n"/>
      <c r="J15" s="28" t="n"/>
      <c r="K15" s="28" t="n"/>
      <c r="L15" s="28" t="n"/>
      <c r="M15" s="28" t="n"/>
      <c r="N15" s="10" t="inlineStr">
        <is>
          <t>$M</t>
        </is>
      </c>
      <c r="O15" s="10" t="inlineStr">
        <is>
          <t>n/a - segment-level assumption</t>
        </is>
      </c>
    </row>
    <row r="16">
      <c r="B16" s="7" t="inlineStr">
        <is>
          <t>Other operating income / (expense), one-time items (+ = income)</t>
        </is>
      </c>
      <c r="C16" s="28" t="n"/>
      <c r="D16" s="28" t="n"/>
      <c r="E16" s="28" t="n"/>
      <c r="F16" s="28" t="n"/>
      <c r="G16" s="28" t="n"/>
      <c r="H16" s="28" t="n"/>
      <c r="I16" s="28" t="n"/>
      <c r="J16" s="28" t="n"/>
      <c r="K16" s="28" t="n"/>
      <c r="L16" s="28" t="n"/>
      <c r="M16" s="28" t="n"/>
      <c r="N16" s="10" t="inlineStr">
        <is>
          <t>$M</t>
        </is>
      </c>
      <c r="O16" s="10" t="inlineStr">
        <is>
          <t>n/a - segment-level assumption</t>
        </is>
      </c>
    </row>
    <row r="17">
      <c r="B17" s="7" t="inlineStr">
        <is>
          <t>Net yield on invested assets (cash &amp; equivalents)</t>
        </is>
      </c>
      <c r="C17" s="28" t="n"/>
      <c r="D17" s="28" t="n"/>
      <c r="E17" s="28" t="n"/>
      <c r="F17" s="28" t="n"/>
      <c r="G17" s="28" t="n"/>
      <c r="H17" s="28" t="n"/>
      <c r="I17" s="28" t="n"/>
      <c r="J17" s="28" t="n"/>
      <c r="K17" s="28" t="n"/>
      <c r="L17" s="28" t="n"/>
      <c r="M17" s="28" t="n"/>
      <c r="N17" s="10" t="inlineStr">
        <is>
          <t>% of prior-yr cash</t>
        </is>
      </c>
      <c r="O17" s="10" t="inlineStr">
        <is>
          <t>n/a - segment-level assumption</t>
        </is>
      </c>
    </row>
    <row r="18">
      <c r="B18" s="7" t="inlineStr">
        <is>
          <t>Interest rate on debt (ABL revolver; debt is zero in baseline)</t>
        </is>
      </c>
      <c r="C18" s="28" t="n"/>
      <c r="D18" s="28" t="n"/>
      <c r="E18" s="28" t="n"/>
      <c r="F18" s="28" t="n"/>
      <c r="G18" s="28" t="n"/>
      <c r="H18" s="28" t="n"/>
      <c r="I18" s="28" t="n"/>
      <c r="J18" s="28" t="n"/>
      <c r="K18" s="28" t="n"/>
      <c r="L18" s="28" t="n"/>
      <c r="M18" s="28" t="n"/>
      <c r="N18" s="10" t="inlineStr">
        <is>
          <t>% of prior-yr debt</t>
        </is>
      </c>
      <c r="O18" s="10" t="inlineStr">
        <is>
          <t>n/a - segment-level assumption</t>
        </is>
      </c>
    </row>
    <row r="19">
      <c r="B19" s="7" t="inlineStr">
        <is>
          <t>Effective income tax rate</t>
        </is>
      </c>
      <c r="C19" s="28" t="n"/>
      <c r="D19" s="28" t="n"/>
      <c r="E19" s="28" t="n"/>
      <c r="F19" s="28" t="n"/>
      <c r="G19" s="28" t="n"/>
      <c r="H19" s="28" t="n"/>
      <c r="I19" s="28" t="n"/>
      <c r="J19" s="28" t="n"/>
      <c r="K19" s="28" t="n"/>
      <c r="L19" s="28" t="n"/>
      <c r="M19" s="28" t="n"/>
      <c r="N19" s="10" t="inlineStr">
        <is>
          <t>% of pre-tax</t>
        </is>
      </c>
      <c r="O19" s="10" t="inlineStr">
        <is>
          <t>n/a - segment-level assumption</t>
        </is>
      </c>
    </row>
    <row r="20">
      <c r="B20" s="7" t="inlineStr">
        <is>
          <t>Discount rate (cost of equity, CAPM) - single rate for the segment</t>
        </is>
      </c>
      <c r="C20" s="28" t="n"/>
      <c r="D20" s="28" t="n"/>
      <c r="E20" s="28" t="n"/>
      <c r="F20" s="28" t="n"/>
      <c r="G20" s="28" t="n"/>
      <c r="H20" s="28" t="n"/>
      <c r="I20" s="28" t="n"/>
      <c r="J20" s="28" t="n"/>
      <c r="K20" s="28" t="n"/>
      <c r="L20" s="28" t="n"/>
      <c r="M20" s="28" t="n"/>
      <c r="N20" s="10" t="inlineStr">
        <is>
          <t>% p.a.</t>
        </is>
      </c>
      <c r="O20" s="10" t="inlineStr">
        <is>
          <t>n/a - segment-level assumption</t>
        </is>
      </c>
    </row>
    <row r="22">
      <c r="A22" s="12" t="inlineStr">
        <is>
          <t>SHOCK TO ASSUMPTIONS - blank at total level</t>
        </is>
      </c>
      <c r="B22" s="13" t="n"/>
      <c r="C22" s="13" t="n"/>
      <c r="D22" s="13" t="n"/>
      <c r="E22" s="13" t="n"/>
      <c r="F22" s="13" t="n"/>
      <c r="G22" s="13" t="n"/>
      <c r="H22" s="13" t="n"/>
      <c r="I22" s="13" t="n"/>
      <c r="J22" s="13" t="n"/>
      <c r="K22" s="13" t="n"/>
      <c r="L22" s="13" t="n"/>
      <c r="M22" s="13" t="n"/>
      <c r="N22" s="13" t="n"/>
      <c r="O22" s="13" t="n"/>
    </row>
    <row r="23">
      <c r="B23" s="7" t="inlineStr">
        <is>
          <t>Gross store openings (number of stores)</t>
        </is>
      </c>
      <c r="C23" s="28" t="n"/>
      <c r="D23" s="28" t="n"/>
      <c r="E23" s="28" t="n"/>
      <c r="F23" s="28" t="n"/>
      <c r="G23" s="28" t="n"/>
      <c r="H23" s="28" t="n"/>
      <c r="I23" s="28" t="n"/>
      <c r="J23" s="28" t="n"/>
      <c r="K23" s="28" t="n"/>
      <c r="L23" s="28" t="n"/>
      <c r="M23" s="28" t="n"/>
      <c r="N23" s="10" t="inlineStr">
        <is>
          <t># stores</t>
        </is>
      </c>
      <c r="O23" s="10" t="inlineStr">
        <is>
          <t>n/a - segment-level assumption</t>
        </is>
      </c>
    </row>
    <row r="24">
      <c r="B24" s="7" t="inlineStr">
        <is>
          <t>Store closures (number of stores)</t>
        </is>
      </c>
      <c r="C24" s="28" t="n"/>
      <c r="D24" s="28" t="n"/>
      <c r="E24" s="28" t="n"/>
      <c r="F24" s="28" t="n"/>
      <c r="G24" s="28" t="n"/>
      <c r="H24" s="28" t="n"/>
      <c r="I24" s="28" t="n"/>
      <c r="J24" s="28" t="n"/>
      <c r="K24" s="28" t="n"/>
      <c r="L24" s="28" t="n"/>
      <c r="M24" s="28" t="n"/>
      <c r="N24" s="10" t="inlineStr">
        <is>
          <t># stores</t>
        </is>
      </c>
      <c r="O24" s="10" t="inlineStr">
        <is>
          <t>n/a - segment-level assumption</t>
        </is>
      </c>
    </row>
    <row r="25">
      <c r="B25" s="7" t="inlineStr">
        <is>
          <t>Same-store sales growth (applied to merchandise sales per average store)</t>
        </is>
      </c>
      <c r="C25" s="28" t="n"/>
      <c r="D25" s="28" t="n"/>
      <c r="E25" s="28" t="n"/>
      <c r="F25" s="28" t="n"/>
      <c r="G25" s="28" t="n"/>
      <c r="H25" s="28" t="n"/>
      <c r="I25" s="28" t="n"/>
      <c r="J25" s="28" t="n"/>
      <c r="K25" s="28" t="n"/>
      <c r="L25" s="28" t="n"/>
      <c r="M25" s="28" t="n"/>
      <c r="N25" s="10" t="inlineStr">
        <is>
          <t>% p.a.</t>
        </is>
      </c>
      <c r="O25" s="10" t="inlineStr">
        <is>
          <t>n/a - segment-level assumption</t>
        </is>
      </c>
    </row>
    <row r="26">
      <c r="B26" s="7" t="inlineStr">
        <is>
          <t>E-commerce merchandise sales growth</t>
        </is>
      </c>
      <c r="C26" s="28" t="n"/>
      <c r="D26" s="28" t="n"/>
      <c r="E26" s="28" t="n"/>
      <c r="F26" s="28" t="n"/>
      <c r="G26" s="28" t="n"/>
      <c r="H26" s="28" t="n"/>
      <c r="I26" s="28" t="n"/>
      <c r="J26" s="28" t="n"/>
      <c r="K26" s="28" t="n"/>
      <c r="L26" s="28" t="n"/>
      <c r="M26" s="28" t="n"/>
      <c r="N26" s="10" t="inlineStr">
        <is>
          <t>% p.a.</t>
        </is>
      </c>
      <c r="O26" s="10" t="inlineStr">
        <is>
          <t>n/a - segment-level assumption</t>
        </is>
      </c>
    </row>
    <row r="27">
      <c r="B27" s="7" t="inlineStr">
        <is>
          <t>Services attach rate (services revenue as % of merchandise sales)</t>
        </is>
      </c>
      <c r="C27" s="28" t="n"/>
      <c r="D27" s="28" t="n"/>
      <c r="E27" s="28" t="n"/>
      <c r="F27" s="28" t="n"/>
      <c r="G27" s="28" t="n"/>
      <c r="H27" s="28" t="n"/>
      <c r="I27" s="28" t="n"/>
      <c r="J27" s="28" t="n"/>
      <c r="K27" s="28" t="n"/>
      <c r="L27" s="28" t="n"/>
      <c r="M27" s="28" t="n"/>
      <c r="N27" s="10" t="inlineStr">
        <is>
          <t>% of merch.</t>
        </is>
      </c>
      <c r="O27" s="10" t="inlineStr">
        <is>
          <t>n/a - segment-level assumption</t>
        </is>
      </c>
    </row>
    <row r="28">
      <c r="B28" s="7" t="inlineStr">
        <is>
          <t>Other (non-retail / diamond sourcing) revenue growth</t>
        </is>
      </c>
      <c r="C28" s="28" t="n"/>
      <c r="D28" s="28" t="n"/>
      <c r="E28" s="28" t="n"/>
      <c r="F28" s="28" t="n"/>
      <c r="G28" s="28" t="n"/>
      <c r="H28" s="28" t="n"/>
      <c r="I28" s="28" t="n"/>
      <c r="J28" s="28" t="n"/>
      <c r="K28" s="28" t="n"/>
      <c r="L28" s="28" t="n"/>
      <c r="M28" s="28" t="n"/>
      <c r="N28" s="10" t="inlineStr">
        <is>
          <t>% p.a.</t>
        </is>
      </c>
      <c r="O28" s="10" t="inlineStr">
        <is>
          <t>n/a - segment-level assumption</t>
        </is>
      </c>
    </row>
    <row r="29">
      <c r="B29" s="7" t="inlineStr">
        <is>
          <t>Cost of sales (incl. store occupancy) as % of total sales</t>
        </is>
      </c>
      <c r="C29" s="28" t="n"/>
      <c r="D29" s="28" t="n"/>
      <c r="E29" s="28" t="n"/>
      <c r="F29" s="28" t="n"/>
      <c r="G29" s="28" t="n"/>
      <c r="H29" s="28" t="n"/>
      <c r="I29" s="28" t="n"/>
      <c r="J29" s="28" t="n"/>
      <c r="K29" s="28" t="n"/>
      <c r="L29" s="28" t="n"/>
      <c r="M29" s="28" t="n"/>
      <c r="N29" s="10" t="inlineStr">
        <is>
          <t>% of sales</t>
        </is>
      </c>
      <c r="O29" s="10" t="inlineStr">
        <is>
          <t>n/a - segment-level assumption</t>
        </is>
      </c>
    </row>
    <row r="30">
      <c r="B30" s="7" t="inlineStr">
        <is>
          <t>Variable SG&amp;A (store payroll, advertising, credit) as % of total sales</t>
        </is>
      </c>
      <c r="C30" s="28" t="n"/>
      <c r="D30" s="28" t="n"/>
      <c r="E30" s="28" t="n"/>
      <c r="F30" s="28" t="n"/>
      <c r="G30" s="28" t="n"/>
      <c r="H30" s="28" t="n"/>
      <c r="I30" s="28" t="n"/>
      <c r="J30" s="28" t="n"/>
      <c r="K30" s="28" t="n"/>
      <c r="L30" s="28" t="n"/>
      <c r="M30" s="28" t="n"/>
      <c r="N30" s="10" t="inlineStr">
        <is>
          <t>% of sales</t>
        </is>
      </c>
      <c r="O30" s="10" t="inlineStr">
        <is>
          <t>n/a - segment-level assumption</t>
        </is>
      </c>
    </row>
    <row r="31">
      <c r="B31" s="7" t="inlineStr">
        <is>
          <t>Fixed SG&amp;A inflation (corporate, support, fixed store overhead)</t>
        </is>
      </c>
      <c r="C31" s="28" t="n"/>
      <c r="D31" s="28" t="n"/>
      <c r="E31" s="28" t="n"/>
      <c r="F31" s="28" t="n"/>
      <c r="G31" s="28" t="n"/>
      <c r="H31" s="28" t="n"/>
      <c r="I31" s="28" t="n"/>
      <c r="J31" s="28" t="n"/>
      <c r="K31" s="28" t="n"/>
      <c r="L31" s="28" t="n"/>
      <c r="M31" s="28" t="n"/>
      <c r="N31" s="10" t="inlineStr">
        <is>
          <t>% p.a.</t>
        </is>
      </c>
      <c r="O31" s="10" t="inlineStr">
        <is>
          <t>n/a - segment-level assumption</t>
        </is>
      </c>
    </row>
    <row r="32">
      <c r="B32" s="7" t="inlineStr">
        <is>
          <t>Cost-savings initiatives (incremental run-rate cut to fixed SG&amp;A)</t>
        </is>
      </c>
      <c r="C32" s="28" t="n"/>
      <c r="D32" s="28" t="n"/>
      <c r="E32" s="28" t="n"/>
      <c r="F32" s="28" t="n"/>
      <c r="G32" s="28" t="n"/>
      <c r="H32" s="28" t="n"/>
      <c r="I32" s="28" t="n"/>
      <c r="J32" s="28" t="n"/>
      <c r="K32" s="28" t="n"/>
      <c r="L32" s="28" t="n"/>
      <c r="M32" s="28" t="n"/>
      <c r="N32" s="10" t="inlineStr">
        <is>
          <t>$M</t>
        </is>
      </c>
      <c r="O32" s="10" t="inlineStr">
        <is>
          <t>n/a - segment-level assumption</t>
        </is>
      </c>
    </row>
    <row r="33">
      <c r="B33" s="7" t="inlineStr">
        <is>
          <t>Other operating income / (expense), one-time items (+ = income)</t>
        </is>
      </c>
      <c r="C33" s="28" t="n"/>
      <c r="D33" s="28" t="n"/>
      <c r="E33" s="28" t="n"/>
      <c r="F33" s="28" t="n"/>
      <c r="G33" s="28" t="n"/>
      <c r="H33" s="28" t="n"/>
      <c r="I33" s="28" t="n"/>
      <c r="J33" s="28" t="n"/>
      <c r="K33" s="28" t="n"/>
      <c r="L33" s="28" t="n"/>
      <c r="M33" s="28" t="n"/>
      <c r="N33" s="10" t="inlineStr">
        <is>
          <t>$M</t>
        </is>
      </c>
      <c r="O33" s="10" t="inlineStr">
        <is>
          <t>n/a - segment-level assumption</t>
        </is>
      </c>
    </row>
    <row r="34">
      <c r="B34" s="7" t="inlineStr">
        <is>
          <t>Net yield on invested assets (cash &amp; equivalents)</t>
        </is>
      </c>
      <c r="C34" s="28" t="n"/>
      <c r="D34" s="28" t="n"/>
      <c r="E34" s="28" t="n"/>
      <c r="F34" s="28" t="n"/>
      <c r="G34" s="28" t="n"/>
      <c r="H34" s="28" t="n"/>
      <c r="I34" s="28" t="n"/>
      <c r="J34" s="28" t="n"/>
      <c r="K34" s="28" t="n"/>
      <c r="L34" s="28" t="n"/>
      <c r="M34" s="28" t="n"/>
      <c r="N34" s="10" t="inlineStr">
        <is>
          <t>% of prior-yr cash</t>
        </is>
      </c>
      <c r="O34" s="10" t="inlineStr">
        <is>
          <t>n/a - segment-level assumption</t>
        </is>
      </c>
    </row>
    <row r="35">
      <c r="B35" s="7" t="inlineStr">
        <is>
          <t>Interest rate on debt (ABL revolver; debt is zero in baseline)</t>
        </is>
      </c>
      <c r="C35" s="28" t="n"/>
      <c r="D35" s="28" t="n"/>
      <c r="E35" s="28" t="n"/>
      <c r="F35" s="28" t="n"/>
      <c r="G35" s="28" t="n"/>
      <c r="H35" s="28" t="n"/>
      <c r="I35" s="28" t="n"/>
      <c r="J35" s="28" t="n"/>
      <c r="K35" s="28" t="n"/>
      <c r="L35" s="28" t="n"/>
      <c r="M35" s="28" t="n"/>
      <c r="N35" s="10" t="inlineStr">
        <is>
          <t>% of prior-yr debt</t>
        </is>
      </c>
      <c r="O35" s="10" t="inlineStr">
        <is>
          <t>n/a - segment-level assumption</t>
        </is>
      </c>
    </row>
    <row r="36">
      <c r="B36" s="7" t="inlineStr">
        <is>
          <t>Effective income tax rate</t>
        </is>
      </c>
      <c r="C36" s="28" t="n"/>
      <c r="D36" s="28" t="n"/>
      <c r="E36" s="28" t="n"/>
      <c r="F36" s="28" t="n"/>
      <c r="G36" s="28" t="n"/>
      <c r="H36" s="28" t="n"/>
      <c r="I36" s="28" t="n"/>
      <c r="J36" s="28" t="n"/>
      <c r="K36" s="28" t="n"/>
      <c r="L36" s="28" t="n"/>
      <c r="M36" s="28" t="n"/>
      <c r="N36" s="10" t="inlineStr">
        <is>
          <t>% of pre-tax</t>
        </is>
      </c>
      <c r="O36" s="10" t="inlineStr">
        <is>
          <t>n/a - segment-level assumption</t>
        </is>
      </c>
    </row>
    <row r="37">
      <c r="B37" s="7" t="inlineStr">
        <is>
          <t>Discount rate (cost of equity, CAPM) - single rate for the segment</t>
        </is>
      </c>
      <c r="C37" s="28" t="n"/>
      <c r="D37" s="28" t="n"/>
      <c r="E37" s="28" t="n"/>
      <c r="F37" s="28" t="n"/>
      <c r="G37" s="28" t="n"/>
      <c r="H37" s="28" t="n"/>
      <c r="I37" s="28" t="n"/>
      <c r="J37" s="28" t="n"/>
      <c r="K37" s="28" t="n"/>
      <c r="L37" s="28" t="n"/>
      <c r="M37" s="28" t="n"/>
      <c r="N37" s="10" t="inlineStr">
        <is>
          <t>% p.a.</t>
        </is>
      </c>
      <c r="O37" s="10" t="inlineStr">
        <is>
          <t>n/a - segment-level assumption</t>
        </is>
      </c>
    </row>
    <row r="39">
      <c r="A39" s="12" t="inlineStr">
        <is>
          <t>ASSUMPTIONS FOR SCENARIO RUN - blank at total level</t>
        </is>
      </c>
      <c r="B39" s="13" t="n"/>
      <c r="C39" s="13" t="n"/>
      <c r="D39" s="13" t="n"/>
      <c r="E39" s="13" t="n"/>
      <c r="F39" s="13" t="n"/>
      <c r="G39" s="13" t="n"/>
      <c r="H39" s="13" t="n"/>
      <c r="I39" s="13" t="n"/>
      <c r="J39" s="13" t="n"/>
      <c r="K39" s="13" t="n"/>
      <c r="L39" s="13" t="n"/>
      <c r="M39" s="13" t="n"/>
      <c r="N39" s="13" t="n"/>
      <c r="O39" s="13" t="n"/>
    </row>
    <row r="40">
      <c r="B40" s="7" t="inlineStr">
        <is>
          <t>Gross store openings (number of stores)</t>
        </is>
      </c>
      <c r="C40" s="28" t="n"/>
      <c r="D40" s="28" t="n"/>
      <c r="E40" s="28" t="n"/>
      <c r="F40" s="28" t="n"/>
      <c r="G40" s="28" t="n"/>
      <c r="H40" s="28" t="n"/>
      <c r="I40" s="28" t="n"/>
      <c r="J40" s="28" t="n"/>
      <c r="K40" s="28" t="n"/>
      <c r="L40" s="28" t="n"/>
      <c r="M40" s="28" t="n"/>
      <c r="N40" s="10" t="inlineStr">
        <is>
          <t># stores</t>
        </is>
      </c>
      <c r="O40" s="10" t="inlineStr">
        <is>
          <t>n/a - segment-level assumption</t>
        </is>
      </c>
    </row>
    <row r="41">
      <c r="B41" s="7" t="inlineStr">
        <is>
          <t>Store closures (number of stores)</t>
        </is>
      </c>
      <c r="C41" s="28" t="n"/>
      <c r="D41" s="28" t="n"/>
      <c r="E41" s="28" t="n"/>
      <c r="F41" s="28" t="n"/>
      <c r="G41" s="28" t="n"/>
      <c r="H41" s="28" t="n"/>
      <c r="I41" s="28" t="n"/>
      <c r="J41" s="28" t="n"/>
      <c r="K41" s="28" t="n"/>
      <c r="L41" s="28" t="n"/>
      <c r="M41" s="28" t="n"/>
      <c r="N41" s="10" t="inlineStr">
        <is>
          <t># stores</t>
        </is>
      </c>
      <c r="O41" s="10" t="inlineStr">
        <is>
          <t>n/a - segment-level assumption</t>
        </is>
      </c>
    </row>
    <row r="42">
      <c r="B42" s="7" t="inlineStr">
        <is>
          <t>Same-store sales growth (applied to merchandise sales per average store)</t>
        </is>
      </c>
      <c r="C42" s="28" t="n"/>
      <c r="D42" s="28" t="n"/>
      <c r="E42" s="28" t="n"/>
      <c r="F42" s="28" t="n"/>
      <c r="G42" s="28" t="n"/>
      <c r="H42" s="28" t="n"/>
      <c r="I42" s="28" t="n"/>
      <c r="J42" s="28" t="n"/>
      <c r="K42" s="28" t="n"/>
      <c r="L42" s="28" t="n"/>
      <c r="M42" s="28" t="n"/>
      <c r="N42" s="10" t="inlineStr">
        <is>
          <t>% p.a.</t>
        </is>
      </c>
      <c r="O42" s="10" t="inlineStr">
        <is>
          <t>n/a - segment-level assumption</t>
        </is>
      </c>
    </row>
    <row r="43">
      <c r="B43" s="7" t="inlineStr">
        <is>
          <t>E-commerce merchandise sales growth</t>
        </is>
      </c>
      <c r="C43" s="28" t="n"/>
      <c r="D43" s="28" t="n"/>
      <c r="E43" s="28" t="n"/>
      <c r="F43" s="28" t="n"/>
      <c r="G43" s="28" t="n"/>
      <c r="H43" s="28" t="n"/>
      <c r="I43" s="28" t="n"/>
      <c r="J43" s="28" t="n"/>
      <c r="K43" s="28" t="n"/>
      <c r="L43" s="28" t="n"/>
      <c r="M43" s="28" t="n"/>
      <c r="N43" s="10" t="inlineStr">
        <is>
          <t>% p.a.</t>
        </is>
      </c>
      <c r="O43" s="10" t="inlineStr">
        <is>
          <t>n/a - segment-level assumption</t>
        </is>
      </c>
    </row>
    <row r="44">
      <c r="B44" s="7" t="inlineStr">
        <is>
          <t>Services attach rate (services revenue as % of merchandise sales)</t>
        </is>
      </c>
      <c r="C44" s="28" t="n"/>
      <c r="D44" s="28" t="n"/>
      <c r="E44" s="28" t="n"/>
      <c r="F44" s="28" t="n"/>
      <c r="G44" s="28" t="n"/>
      <c r="H44" s="28" t="n"/>
      <c r="I44" s="28" t="n"/>
      <c r="J44" s="28" t="n"/>
      <c r="K44" s="28" t="n"/>
      <c r="L44" s="28" t="n"/>
      <c r="M44" s="28" t="n"/>
      <c r="N44" s="10" t="inlineStr">
        <is>
          <t>% of merch.</t>
        </is>
      </c>
      <c r="O44" s="10" t="inlineStr">
        <is>
          <t>n/a - segment-level assumption</t>
        </is>
      </c>
    </row>
    <row r="45">
      <c r="B45" s="7" t="inlineStr">
        <is>
          <t>Other (non-retail / diamond sourcing) revenue growth</t>
        </is>
      </c>
      <c r="C45" s="28" t="n"/>
      <c r="D45" s="28" t="n"/>
      <c r="E45" s="28" t="n"/>
      <c r="F45" s="28" t="n"/>
      <c r="G45" s="28" t="n"/>
      <c r="H45" s="28" t="n"/>
      <c r="I45" s="28" t="n"/>
      <c r="J45" s="28" t="n"/>
      <c r="K45" s="28" t="n"/>
      <c r="L45" s="28" t="n"/>
      <c r="M45" s="28" t="n"/>
      <c r="N45" s="10" t="inlineStr">
        <is>
          <t>% p.a.</t>
        </is>
      </c>
      <c r="O45" s="10" t="inlineStr">
        <is>
          <t>n/a - segment-level assumption</t>
        </is>
      </c>
    </row>
    <row r="46">
      <c r="B46" s="7" t="inlineStr">
        <is>
          <t>Cost of sales (incl. store occupancy) as % of total sales</t>
        </is>
      </c>
      <c r="C46" s="28" t="n"/>
      <c r="D46" s="28" t="n"/>
      <c r="E46" s="28" t="n"/>
      <c r="F46" s="28" t="n"/>
      <c r="G46" s="28" t="n"/>
      <c r="H46" s="28" t="n"/>
      <c r="I46" s="28" t="n"/>
      <c r="J46" s="28" t="n"/>
      <c r="K46" s="28" t="n"/>
      <c r="L46" s="28" t="n"/>
      <c r="M46" s="28" t="n"/>
      <c r="N46" s="10" t="inlineStr">
        <is>
          <t>% of sales</t>
        </is>
      </c>
      <c r="O46" s="10" t="inlineStr">
        <is>
          <t>n/a - segment-level assumption</t>
        </is>
      </c>
    </row>
    <row r="47">
      <c r="B47" s="7" t="inlineStr">
        <is>
          <t>Variable SG&amp;A (store payroll, advertising, credit) as % of total sales</t>
        </is>
      </c>
      <c r="C47" s="28" t="n"/>
      <c r="D47" s="28" t="n"/>
      <c r="E47" s="28" t="n"/>
      <c r="F47" s="28" t="n"/>
      <c r="G47" s="28" t="n"/>
      <c r="H47" s="28" t="n"/>
      <c r="I47" s="28" t="n"/>
      <c r="J47" s="28" t="n"/>
      <c r="K47" s="28" t="n"/>
      <c r="L47" s="28" t="n"/>
      <c r="M47" s="28" t="n"/>
      <c r="N47" s="10" t="inlineStr">
        <is>
          <t>% of sales</t>
        </is>
      </c>
      <c r="O47" s="10" t="inlineStr">
        <is>
          <t>n/a - segment-level assumption</t>
        </is>
      </c>
    </row>
    <row r="48">
      <c r="B48" s="7" t="inlineStr">
        <is>
          <t>Fixed SG&amp;A inflation (corporate, support, fixed store overhead)</t>
        </is>
      </c>
      <c r="C48" s="28" t="n"/>
      <c r="D48" s="28" t="n"/>
      <c r="E48" s="28" t="n"/>
      <c r="F48" s="28" t="n"/>
      <c r="G48" s="28" t="n"/>
      <c r="H48" s="28" t="n"/>
      <c r="I48" s="28" t="n"/>
      <c r="J48" s="28" t="n"/>
      <c r="K48" s="28" t="n"/>
      <c r="L48" s="28" t="n"/>
      <c r="M48" s="28" t="n"/>
      <c r="N48" s="10" t="inlineStr">
        <is>
          <t>% p.a.</t>
        </is>
      </c>
      <c r="O48" s="10" t="inlineStr">
        <is>
          <t>n/a - segment-level assumption</t>
        </is>
      </c>
    </row>
    <row r="49">
      <c r="B49" s="7" t="inlineStr">
        <is>
          <t>Cost-savings initiatives (incremental run-rate cut to fixed SG&amp;A)</t>
        </is>
      </c>
      <c r="C49" s="28" t="n"/>
      <c r="D49" s="28" t="n"/>
      <c r="E49" s="28" t="n"/>
      <c r="F49" s="28" t="n"/>
      <c r="G49" s="28" t="n"/>
      <c r="H49" s="28" t="n"/>
      <c r="I49" s="28" t="n"/>
      <c r="J49" s="28" t="n"/>
      <c r="K49" s="28" t="n"/>
      <c r="L49" s="28" t="n"/>
      <c r="M49" s="28" t="n"/>
      <c r="N49" s="10" t="inlineStr">
        <is>
          <t>$M</t>
        </is>
      </c>
      <c r="O49" s="10" t="inlineStr">
        <is>
          <t>n/a - segment-level assumption</t>
        </is>
      </c>
    </row>
    <row r="50">
      <c r="B50" s="7" t="inlineStr">
        <is>
          <t>Other operating income / (expense), one-time items (+ = income)</t>
        </is>
      </c>
      <c r="C50" s="28" t="n"/>
      <c r="D50" s="28" t="n"/>
      <c r="E50" s="28" t="n"/>
      <c r="F50" s="28" t="n"/>
      <c r="G50" s="28" t="n"/>
      <c r="H50" s="28" t="n"/>
      <c r="I50" s="28" t="n"/>
      <c r="J50" s="28" t="n"/>
      <c r="K50" s="28" t="n"/>
      <c r="L50" s="28" t="n"/>
      <c r="M50" s="28" t="n"/>
      <c r="N50" s="10" t="inlineStr">
        <is>
          <t>$M</t>
        </is>
      </c>
      <c r="O50" s="10" t="inlineStr">
        <is>
          <t>n/a - segment-level assumption</t>
        </is>
      </c>
    </row>
    <row r="51">
      <c r="B51" s="7" t="inlineStr">
        <is>
          <t>Net yield on invested assets (cash &amp; equivalents)</t>
        </is>
      </c>
      <c r="C51" s="28" t="n"/>
      <c r="D51" s="28" t="n"/>
      <c r="E51" s="28" t="n"/>
      <c r="F51" s="28" t="n"/>
      <c r="G51" s="28" t="n"/>
      <c r="H51" s="28" t="n"/>
      <c r="I51" s="28" t="n"/>
      <c r="J51" s="28" t="n"/>
      <c r="K51" s="28" t="n"/>
      <c r="L51" s="28" t="n"/>
      <c r="M51" s="28" t="n"/>
      <c r="N51" s="10" t="inlineStr">
        <is>
          <t>% of prior-yr cash</t>
        </is>
      </c>
      <c r="O51" s="10" t="inlineStr">
        <is>
          <t>n/a - segment-level assumption</t>
        </is>
      </c>
    </row>
    <row r="52">
      <c r="B52" s="7" t="inlineStr">
        <is>
          <t>Interest rate on debt (ABL revolver; debt is zero in baseline)</t>
        </is>
      </c>
      <c r="C52" s="28" t="n"/>
      <c r="D52" s="28" t="n"/>
      <c r="E52" s="28" t="n"/>
      <c r="F52" s="28" t="n"/>
      <c r="G52" s="28" t="n"/>
      <c r="H52" s="28" t="n"/>
      <c r="I52" s="28" t="n"/>
      <c r="J52" s="28" t="n"/>
      <c r="K52" s="28" t="n"/>
      <c r="L52" s="28" t="n"/>
      <c r="M52" s="28" t="n"/>
      <c r="N52" s="10" t="inlineStr">
        <is>
          <t>% of prior-yr debt</t>
        </is>
      </c>
      <c r="O52" s="10" t="inlineStr">
        <is>
          <t>n/a - segment-level assumption</t>
        </is>
      </c>
    </row>
    <row r="53">
      <c r="B53" s="7" t="inlineStr">
        <is>
          <t>Effective income tax rate</t>
        </is>
      </c>
      <c r="C53" s="28" t="n"/>
      <c r="D53" s="28" t="n"/>
      <c r="E53" s="28" t="n"/>
      <c r="F53" s="28" t="n"/>
      <c r="G53" s="28" t="n"/>
      <c r="H53" s="28" t="n"/>
      <c r="I53" s="28" t="n"/>
      <c r="J53" s="28" t="n"/>
      <c r="K53" s="28" t="n"/>
      <c r="L53" s="28" t="n"/>
      <c r="M53" s="28" t="n"/>
      <c r="N53" s="10" t="inlineStr">
        <is>
          <t>% of pre-tax</t>
        </is>
      </c>
      <c r="O53" s="10" t="inlineStr">
        <is>
          <t>n/a - segment-level assumption</t>
        </is>
      </c>
    </row>
    <row r="54">
      <c r="B54" s="7" t="inlineStr">
        <is>
          <t>Discount rate (cost of equity, CAPM) - single rate for the segment</t>
        </is>
      </c>
      <c r="C54" s="28" t="n"/>
      <c r="D54" s="28" t="n"/>
      <c r="E54" s="28" t="n"/>
      <c r="F54" s="28" t="n"/>
      <c r="G54" s="28" t="n"/>
      <c r="H54" s="28" t="n"/>
      <c r="I54" s="28" t="n"/>
      <c r="J54" s="28" t="n"/>
      <c r="K54" s="28" t="n"/>
      <c r="L54" s="28" t="n"/>
      <c r="M54" s="28" t="n"/>
      <c r="N54" s="10" t="inlineStr">
        <is>
          <t>% p.a.</t>
        </is>
      </c>
      <c r="O54" s="10" t="inlineStr">
        <is>
          <t>n/a - segment-level assumption</t>
        </is>
      </c>
    </row>
    <row r="56">
      <c r="A56" s="12" t="inlineStr">
        <is>
          <t>PROJECTION  ($ millions unless stated; all formulas read the SCENARIO block, never the baseline block directly)</t>
        </is>
      </c>
      <c r="B56" s="13" t="n"/>
      <c r="C56" s="13" t="n"/>
      <c r="D56" s="13" t="n"/>
      <c r="E56" s="13" t="n"/>
      <c r="F56" s="13" t="n"/>
      <c r="G56" s="13" t="n"/>
      <c r="H56" s="13" t="n"/>
      <c r="I56" s="13" t="n"/>
      <c r="J56" s="13" t="n"/>
      <c r="K56" s="13" t="n"/>
      <c r="L56" s="13" t="n"/>
      <c r="M56" s="13" t="n"/>
      <c r="N56" s="13" t="n"/>
      <c r="O56" s="13" t="n"/>
    </row>
    <row r="57">
      <c r="A57" s="22" t="inlineStr">
        <is>
          <t>Drivers</t>
        </is>
      </c>
      <c r="B57" s="23" t="inlineStr">
        <is>
          <t>OPERATING DRIVERS</t>
        </is>
      </c>
      <c r="C57" s="24" t="n"/>
      <c r="D57" s="24" t="n"/>
      <c r="E57" s="24" t="n"/>
      <c r="F57" s="24" t="n"/>
      <c r="G57" s="24" t="n"/>
      <c r="H57" s="24" t="n"/>
      <c r="I57" s="24" t="n"/>
      <c r="J57" s="24" t="n"/>
      <c r="K57" s="24" t="n"/>
      <c r="L57" s="24" t="n"/>
      <c r="M57" s="24" t="n"/>
      <c r="N57" s="24" t="n"/>
      <c r="O57" s="24" t="n"/>
    </row>
    <row r="58">
      <c r="B58" s="7" t="inlineStr">
        <is>
          <t>Stores - beginning of year</t>
        </is>
      </c>
      <c r="C58" s="29">
        <f>'Model - NA'!C58+'Model - INTL'!C58+'Model - OTHER'!C58</f>
        <v/>
      </c>
      <c r="D58" s="29">
        <f>'Model - NA'!D58+'Model - INTL'!D58+'Model - OTHER'!D58</f>
        <v/>
      </c>
      <c r="E58" s="29">
        <f>'Model - NA'!E58+'Model - INTL'!E58+'Model - OTHER'!E58</f>
        <v/>
      </c>
      <c r="F58" s="29">
        <f>'Model - NA'!F58+'Model - INTL'!F58+'Model - OTHER'!F58</f>
        <v/>
      </c>
      <c r="G58" s="29">
        <f>'Model - NA'!G58+'Model - INTL'!G58+'Model - OTHER'!G58</f>
        <v/>
      </c>
      <c r="H58" s="29">
        <f>'Model - NA'!H58+'Model - INTL'!H58+'Model - OTHER'!H58</f>
        <v/>
      </c>
      <c r="I58" s="29">
        <f>'Model - NA'!I58+'Model - INTL'!I58+'Model - OTHER'!I58</f>
        <v/>
      </c>
      <c r="J58" s="29">
        <f>'Model - NA'!J58+'Model - INTL'!J58+'Model - OTHER'!J58</f>
        <v/>
      </c>
      <c r="K58" s="29">
        <f>'Model - NA'!K58+'Model - INTL'!K58+'Model - OTHER'!K58</f>
        <v/>
      </c>
      <c r="L58" s="29">
        <f>'Model - NA'!L58+'Model - INTL'!L58+'Model - OTHER'!L58</f>
        <v/>
      </c>
      <c r="M58" s="29">
        <f>'Model - NA'!M58+'Model - INTL'!M58+'Model - OTHER'!M58</f>
        <v/>
      </c>
      <c r="N58" s="10" t="inlineStr">
        <is>
          <t># stores</t>
        </is>
      </c>
      <c r="O58" s="10" t="inlineStr">
        <is>
          <t>Last Yr = stores at Feb 1, 2025 (10-K FY2026).</t>
        </is>
      </c>
    </row>
    <row r="59">
      <c r="B59" s="7" t="inlineStr">
        <is>
          <t>Gross store openings</t>
        </is>
      </c>
      <c r="C59" s="29">
        <f>'Model - NA'!C59+'Model - INTL'!C59+'Model - OTHER'!C59</f>
        <v/>
      </c>
      <c r="D59" s="29">
        <f>'Model - NA'!D59+'Model - INTL'!D59+'Model - OTHER'!D59</f>
        <v/>
      </c>
      <c r="E59" s="29">
        <f>'Model - NA'!E59+'Model - INTL'!E59+'Model - OTHER'!E59</f>
        <v/>
      </c>
      <c r="F59" s="29">
        <f>'Model - NA'!F59+'Model - INTL'!F59+'Model - OTHER'!F59</f>
        <v/>
      </c>
      <c r="G59" s="29">
        <f>'Model - NA'!G59+'Model - INTL'!G59+'Model - OTHER'!G59</f>
        <v/>
      </c>
      <c r="H59" s="29">
        <f>'Model - NA'!H59+'Model - INTL'!H59+'Model - OTHER'!H59</f>
        <v/>
      </c>
      <c r="I59" s="29">
        <f>'Model - NA'!I59+'Model - INTL'!I59+'Model - OTHER'!I59</f>
        <v/>
      </c>
      <c r="J59" s="29">
        <f>'Model - NA'!J59+'Model - INTL'!J59+'Model - OTHER'!J59</f>
        <v/>
      </c>
      <c r="K59" s="29">
        <f>'Model - NA'!K59+'Model - INTL'!K59+'Model - OTHER'!K59</f>
        <v/>
      </c>
      <c r="L59" s="29">
        <f>'Model - NA'!L59+'Model - INTL'!L59+'Model - OTHER'!L59</f>
        <v/>
      </c>
      <c r="M59" s="29">
        <f>'Model - NA'!M59+'Model - INTL'!M59+'Model - OTHER'!M59</f>
        <v/>
      </c>
      <c r="N59" s="10" t="inlineStr">
        <is>
          <t># stores</t>
        </is>
      </c>
      <c r="O59" s="10" t="inlineStr"/>
    </row>
    <row r="60">
      <c r="B60" s="7" t="inlineStr">
        <is>
          <t>Store closures</t>
        </is>
      </c>
      <c r="C60" s="29">
        <f>'Model - NA'!C60+'Model - INTL'!C60+'Model - OTHER'!C60</f>
        <v/>
      </c>
      <c r="D60" s="29">
        <f>'Model - NA'!D60+'Model - INTL'!D60+'Model - OTHER'!D60</f>
        <v/>
      </c>
      <c r="E60" s="29">
        <f>'Model - NA'!E60+'Model - INTL'!E60+'Model - OTHER'!E60</f>
        <v/>
      </c>
      <c r="F60" s="29">
        <f>'Model - NA'!F60+'Model - INTL'!F60+'Model - OTHER'!F60</f>
        <v/>
      </c>
      <c r="G60" s="29">
        <f>'Model - NA'!G60+'Model - INTL'!G60+'Model - OTHER'!G60</f>
        <v/>
      </c>
      <c r="H60" s="29">
        <f>'Model - NA'!H60+'Model - INTL'!H60+'Model - OTHER'!H60</f>
        <v/>
      </c>
      <c r="I60" s="29">
        <f>'Model - NA'!I60+'Model - INTL'!I60+'Model - OTHER'!I60</f>
        <v/>
      </c>
      <c r="J60" s="29">
        <f>'Model - NA'!J60+'Model - INTL'!J60+'Model - OTHER'!J60</f>
        <v/>
      </c>
      <c r="K60" s="29">
        <f>'Model - NA'!K60+'Model - INTL'!K60+'Model - OTHER'!K60</f>
        <v/>
      </c>
      <c r="L60" s="29">
        <f>'Model - NA'!L60+'Model - INTL'!L60+'Model - OTHER'!L60</f>
        <v/>
      </c>
      <c r="M60" s="29">
        <f>'Model - NA'!M60+'Model - INTL'!M60+'Model - OTHER'!M60</f>
        <v/>
      </c>
      <c r="N60" s="10" t="inlineStr">
        <is>
          <t># stores</t>
        </is>
      </c>
      <c r="O60" s="10" t="inlineStr"/>
    </row>
    <row r="61">
      <c r="B61" s="7" t="inlineStr">
        <is>
          <t>Stores - end of year</t>
        </is>
      </c>
      <c r="C61" s="29">
        <f>'Model - NA'!C61+'Model - INTL'!C61+'Model - OTHER'!C61</f>
        <v/>
      </c>
      <c r="D61" s="29">
        <f>'Model - NA'!D61+'Model - INTL'!D61+'Model - OTHER'!D61</f>
        <v/>
      </c>
      <c r="E61" s="29">
        <f>'Model - NA'!E61+'Model - INTL'!E61+'Model - OTHER'!E61</f>
        <v/>
      </c>
      <c r="F61" s="29">
        <f>'Model - NA'!F61+'Model - INTL'!F61+'Model - OTHER'!F61</f>
        <v/>
      </c>
      <c r="G61" s="29">
        <f>'Model - NA'!G61+'Model - INTL'!G61+'Model - OTHER'!G61</f>
        <v/>
      </c>
      <c r="H61" s="29">
        <f>'Model - NA'!H61+'Model - INTL'!H61+'Model - OTHER'!H61</f>
        <v/>
      </c>
      <c r="I61" s="29">
        <f>'Model - NA'!I61+'Model - INTL'!I61+'Model - OTHER'!I61</f>
        <v/>
      </c>
      <c r="J61" s="29">
        <f>'Model - NA'!J61+'Model - INTL'!J61+'Model - OTHER'!J61</f>
        <v/>
      </c>
      <c r="K61" s="29">
        <f>'Model - NA'!K61+'Model - INTL'!K61+'Model - OTHER'!K61</f>
        <v/>
      </c>
      <c r="L61" s="29">
        <f>'Model - NA'!L61+'Model - INTL'!L61+'Model - OTHER'!L61</f>
        <v/>
      </c>
      <c r="M61" s="29">
        <f>'Model - NA'!M61+'Model - INTL'!M61+'Model - OTHER'!M61</f>
        <v/>
      </c>
      <c r="N61" s="10" t="inlineStr">
        <is>
          <t># stores</t>
        </is>
      </c>
      <c r="O61" s="10" t="inlineStr"/>
    </row>
    <row r="62">
      <c r="B62" s="7" t="inlineStr">
        <is>
          <t>Average stores in operation</t>
        </is>
      </c>
      <c r="C62" s="30">
        <f>'Model - NA'!C62+'Model - INTL'!C62+'Model - OTHER'!C62</f>
        <v/>
      </c>
      <c r="D62" s="30">
        <f>'Model - NA'!D62+'Model - INTL'!D62+'Model - OTHER'!D62</f>
        <v/>
      </c>
      <c r="E62" s="30">
        <f>'Model - NA'!E62+'Model - INTL'!E62+'Model - OTHER'!E62</f>
        <v/>
      </c>
      <c r="F62" s="30">
        <f>'Model - NA'!F62+'Model - INTL'!F62+'Model - OTHER'!F62</f>
        <v/>
      </c>
      <c r="G62" s="30">
        <f>'Model - NA'!G62+'Model - INTL'!G62+'Model - OTHER'!G62</f>
        <v/>
      </c>
      <c r="H62" s="30">
        <f>'Model - NA'!H62+'Model - INTL'!H62+'Model - OTHER'!H62</f>
        <v/>
      </c>
      <c r="I62" s="30">
        <f>'Model - NA'!I62+'Model - INTL'!I62+'Model - OTHER'!I62</f>
        <v/>
      </c>
      <c r="J62" s="30">
        <f>'Model - NA'!J62+'Model - INTL'!J62+'Model - OTHER'!J62</f>
        <v/>
      </c>
      <c r="K62" s="30">
        <f>'Model - NA'!K62+'Model - INTL'!K62+'Model - OTHER'!K62</f>
        <v/>
      </c>
      <c r="L62" s="30">
        <f>'Model - NA'!L62+'Model - INTL'!L62+'Model - OTHER'!L62</f>
        <v/>
      </c>
      <c r="M62" s="30">
        <f>'Model - NA'!M62+'Model - INTL'!M62+'Model - OTHER'!M62</f>
        <v/>
      </c>
      <c r="N62" s="10" t="inlineStr">
        <is>
          <t># stores</t>
        </is>
      </c>
      <c r="O62" s="10" t="inlineStr"/>
    </row>
    <row r="63">
      <c r="B63" s="7" t="inlineStr">
        <is>
          <t>Store merchandise sales per average store</t>
        </is>
      </c>
      <c r="C63" s="25">
        <f>IF(C62=0,0,C66/C62)</f>
        <v/>
      </c>
      <c r="D63" s="25">
        <f>IF(D62=0,0,D66/D62)</f>
        <v/>
      </c>
      <c r="E63" s="25">
        <f>IF(E62=0,0,E66/E62)</f>
        <v/>
      </c>
      <c r="F63" s="25">
        <f>IF(F62=0,0,F66/F62)</f>
        <v/>
      </c>
      <c r="G63" s="25">
        <f>IF(G62=0,0,G66/G62)</f>
        <v/>
      </c>
      <c r="H63" s="25">
        <f>IF(H62=0,0,H66/H62)</f>
        <v/>
      </c>
      <c r="I63" s="25">
        <f>IF(I62=0,0,I66/I62)</f>
        <v/>
      </c>
      <c r="J63" s="25">
        <f>IF(J62=0,0,J66/J62)</f>
        <v/>
      </c>
      <c r="K63" s="25">
        <f>IF(K62=0,0,K66/K62)</f>
        <v/>
      </c>
      <c r="L63" s="25">
        <f>IF(L62=0,0,L66/L62)</f>
        <v/>
      </c>
      <c r="M63" s="25">
        <f>IF(M62=0,0,M66/M62)</f>
        <v/>
      </c>
      <c r="N63" s="10" t="inlineStr">
        <is>
          <t>$M / store</t>
        </is>
      </c>
      <c r="O63" s="10" t="inlineStr">
        <is>
          <t>Last Yr calibrated = store merchandise sales / average stores; grows at same-store-sales assumption.</t>
        </is>
      </c>
    </row>
    <row r="65">
      <c r="A65" s="22" t="inlineStr">
        <is>
          <t>Income stmt</t>
        </is>
      </c>
      <c r="B65" s="23" t="inlineStr">
        <is>
          <t>INCOME STATEMENT</t>
        </is>
      </c>
      <c r="C65" s="24" t="n"/>
      <c r="D65" s="24" t="n"/>
      <c r="E65" s="24" t="n"/>
      <c r="F65" s="24" t="n"/>
      <c r="G65" s="24" t="n"/>
      <c r="H65" s="24" t="n"/>
      <c r="I65" s="24" t="n"/>
      <c r="J65" s="24" t="n"/>
      <c r="K65" s="24" t="n"/>
      <c r="L65" s="24" t="n"/>
      <c r="M65" s="24" t="n"/>
      <c r="N65" s="24" t="n"/>
      <c r="O65" s="24" t="n"/>
    </row>
    <row r="66">
      <c r="B66" s="7" t="inlineStr">
        <is>
          <t>Store merchandise sales (average stores x sales per store)</t>
        </is>
      </c>
      <c r="C66" s="30">
        <f>'Model - NA'!C66+'Model - INTL'!C66+'Model - OTHER'!C66</f>
        <v/>
      </c>
      <c r="D66" s="30">
        <f>'Model - NA'!D66+'Model - INTL'!D66+'Model - OTHER'!D66</f>
        <v/>
      </c>
      <c r="E66" s="30">
        <f>'Model - NA'!E66+'Model - INTL'!E66+'Model - OTHER'!E66</f>
        <v/>
      </c>
      <c r="F66" s="30">
        <f>'Model - NA'!F66+'Model - INTL'!F66+'Model - OTHER'!F66</f>
        <v/>
      </c>
      <c r="G66" s="30">
        <f>'Model - NA'!G66+'Model - INTL'!G66+'Model - OTHER'!G66</f>
        <v/>
      </c>
      <c r="H66" s="30">
        <f>'Model - NA'!H66+'Model - INTL'!H66+'Model - OTHER'!H66</f>
        <v/>
      </c>
      <c r="I66" s="30">
        <f>'Model - NA'!I66+'Model - INTL'!I66+'Model - OTHER'!I66</f>
        <v/>
      </c>
      <c r="J66" s="30">
        <f>'Model - NA'!J66+'Model - INTL'!J66+'Model - OTHER'!J66</f>
        <v/>
      </c>
      <c r="K66" s="30">
        <f>'Model - NA'!K66+'Model - INTL'!K66+'Model - OTHER'!K66</f>
        <v/>
      </c>
      <c r="L66" s="30">
        <f>'Model - NA'!L66+'Model - INTL'!L66+'Model - OTHER'!L66</f>
        <v/>
      </c>
      <c r="M66" s="30">
        <f>'Model - NA'!M66+'Model - INTL'!M66+'Model - OTHER'!M66</f>
        <v/>
      </c>
      <c r="N66" s="10" t="inlineStr">
        <is>
          <t>$M</t>
        </is>
      </c>
      <c r="O66" s="10" t="inlineStr"/>
    </row>
    <row r="67">
      <c r="B67" s="7" t="inlineStr">
        <is>
          <t>E-commerce merchandise sales</t>
        </is>
      </c>
      <c r="C67" s="30">
        <f>'Model - NA'!C67+'Model - INTL'!C67+'Model - OTHER'!C67</f>
        <v/>
      </c>
      <c r="D67" s="30">
        <f>'Model - NA'!D67+'Model - INTL'!D67+'Model - OTHER'!D67</f>
        <v/>
      </c>
      <c r="E67" s="30">
        <f>'Model - NA'!E67+'Model - INTL'!E67+'Model - OTHER'!E67</f>
        <v/>
      </c>
      <c r="F67" s="30">
        <f>'Model - NA'!F67+'Model - INTL'!F67+'Model - OTHER'!F67</f>
        <v/>
      </c>
      <c r="G67" s="30">
        <f>'Model - NA'!G67+'Model - INTL'!G67+'Model - OTHER'!G67</f>
        <v/>
      </c>
      <c r="H67" s="30">
        <f>'Model - NA'!H67+'Model - INTL'!H67+'Model - OTHER'!H67</f>
        <v/>
      </c>
      <c r="I67" s="30">
        <f>'Model - NA'!I67+'Model - INTL'!I67+'Model - OTHER'!I67</f>
        <v/>
      </c>
      <c r="J67" s="30">
        <f>'Model - NA'!J67+'Model - INTL'!J67+'Model - OTHER'!J67</f>
        <v/>
      </c>
      <c r="K67" s="30">
        <f>'Model - NA'!K67+'Model - INTL'!K67+'Model - OTHER'!K67</f>
        <v/>
      </c>
      <c r="L67" s="30">
        <f>'Model - NA'!L67+'Model - INTL'!L67+'Model - OTHER'!L67</f>
        <v/>
      </c>
      <c r="M67" s="30">
        <f>'Model - NA'!M67+'Model - INTL'!M67+'Model - OTHER'!M67</f>
        <v/>
      </c>
      <c r="N67" s="10" t="inlineStr">
        <is>
          <t>$M</t>
        </is>
      </c>
      <c r="O67" s="10" t="inlineStr">
        <is>
          <t>Last Yr: NA 1,423.8 incl. James Allen + Blue Nile 481.5; company e-commerce 21.8% of sales.</t>
        </is>
      </c>
    </row>
    <row r="68">
      <c r="B68" s="7" t="inlineStr">
        <is>
          <t>Services revenue (extended service plans, repairs, custom design)</t>
        </is>
      </c>
      <c r="C68" s="30">
        <f>'Model - NA'!C68+'Model - INTL'!C68+'Model - OTHER'!C68</f>
        <v/>
      </c>
      <c r="D68" s="30">
        <f>'Model - NA'!D68+'Model - INTL'!D68+'Model - OTHER'!D68</f>
        <v/>
      </c>
      <c r="E68" s="30">
        <f>'Model - NA'!E68+'Model - INTL'!E68+'Model - OTHER'!E68</f>
        <v/>
      </c>
      <c r="F68" s="30">
        <f>'Model - NA'!F68+'Model - INTL'!F68+'Model - OTHER'!F68</f>
        <v/>
      </c>
      <c r="G68" s="30">
        <f>'Model - NA'!G68+'Model - INTL'!G68+'Model - OTHER'!G68</f>
        <v/>
      </c>
      <c r="H68" s="30">
        <f>'Model - NA'!H68+'Model - INTL'!H68+'Model - OTHER'!H68</f>
        <v/>
      </c>
      <c r="I68" s="30">
        <f>'Model - NA'!I68+'Model - INTL'!I68+'Model - OTHER'!I68</f>
        <v/>
      </c>
      <c r="J68" s="30">
        <f>'Model - NA'!J68+'Model - INTL'!J68+'Model - OTHER'!J68</f>
        <v/>
      </c>
      <c r="K68" s="30">
        <f>'Model - NA'!K68+'Model - INTL'!K68+'Model - OTHER'!K68</f>
        <v/>
      </c>
      <c r="L68" s="30">
        <f>'Model - NA'!L68+'Model - INTL'!L68+'Model - OTHER'!L68</f>
        <v/>
      </c>
      <c r="M68" s="30">
        <f>'Model - NA'!M68+'Model - INTL'!M68+'Model - OTHER'!M68</f>
        <v/>
      </c>
      <c r="N68" s="10" t="inlineStr">
        <is>
          <t>$M</t>
        </is>
      </c>
      <c r="O68" s="10" t="inlineStr">
        <is>
          <t>FY2026 services 803.5 consolidated (10-K); attach rate assumption x merchandise sales.</t>
        </is>
      </c>
    </row>
    <row r="69">
      <c r="B69" s="7" t="inlineStr">
        <is>
          <t>Other revenue (diamond sourcing / non-retail)</t>
        </is>
      </c>
      <c r="C69" s="30">
        <f>'Model - NA'!C69+'Model - INTL'!C69+'Model - OTHER'!C69</f>
        <v/>
      </c>
      <c r="D69" s="30">
        <f>'Model - NA'!D69+'Model - INTL'!D69+'Model - OTHER'!D69</f>
        <v/>
      </c>
      <c r="E69" s="30">
        <f>'Model - NA'!E69+'Model - INTL'!E69+'Model - OTHER'!E69</f>
        <v/>
      </c>
      <c r="F69" s="30">
        <f>'Model - NA'!F69+'Model - INTL'!F69+'Model - OTHER'!F69</f>
        <v/>
      </c>
      <c r="G69" s="30">
        <f>'Model - NA'!G69+'Model - INTL'!G69+'Model - OTHER'!G69</f>
        <v/>
      </c>
      <c r="H69" s="30">
        <f>'Model - NA'!H69+'Model - INTL'!H69+'Model - OTHER'!H69</f>
        <v/>
      </c>
      <c r="I69" s="30">
        <f>'Model - NA'!I69+'Model - INTL'!I69+'Model - OTHER'!I69</f>
        <v/>
      </c>
      <c r="J69" s="30">
        <f>'Model - NA'!J69+'Model - INTL'!J69+'Model - OTHER'!J69</f>
        <v/>
      </c>
      <c r="K69" s="30">
        <f>'Model - NA'!K69+'Model - INTL'!K69+'Model - OTHER'!K69</f>
        <v/>
      </c>
      <c r="L69" s="30">
        <f>'Model - NA'!L69+'Model - INTL'!L69+'Model - OTHER'!L69</f>
        <v/>
      </c>
      <c r="M69" s="30">
        <f>'Model - NA'!M69+'Model - INTL'!M69+'Model - OTHER'!M69</f>
        <v/>
      </c>
      <c r="N69" s="10" t="inlineStr">
        <is>
          <t>$M</t>
        </is>
      </c>
      <c r="O69" s="10" t="inlineStr">
        <is>
          <t>Diamond-sourcing sales to third parties (Other segment).</t>
        </is>
      </c>
    </row>
    <row r="70">
      <c r="B70" s="3" t="inlineStr">
        <is>
          <t>TOTAL SALES</t>
        </is>
      </c>
      <c r="C70" s="26">
        <f>SUM(C66:C69)</f>
        <v/>
      </c>
      <c r="D70" s="26">
        <f>SUM(D66:D69)</f>
        <v/>
      </c>
      <c r="E70" s="26">
        <f>SUM(E66:E69)</f>
        <v/>
      </c>
      <c r="F70" s="26">
        <f>SUM(F66:F69)</f>
        <v/>
      </c>
      <c r="G70" s="26">
        <f>SUM(G66:G69)</f>
        <v/>
      </c>
      <c r="H70" s="26">
        <f>SUM(H66:H69)</f>
        <v/>
      </c>
      <c r="I70" s="26">
        <f>SUM(I66:I69)</f>
        <v/>
      </c>
      <c r="J70" s="26">
        <f>SUM(J66:J69)</f>
        <v/>
      </c>
      <c r="K70" s="26">
        <f>SUM(K66:K69)</f>
        <v/>
      </c>
      <c r="L70" s="26">
        <f>SUM(L66:L69)</f>
        <v/>
      </c>
      <c r="M70" s="26">
        <f>SUM(M66:M69)</f>
        <v/>
      </c>
      <c r="N70" s="10" t="inlineStr">
        <is>
          <t>$M</t>
        </is>
      </c>
      <c r="O70" s="10" t="inlineStr">
        <is>
          <t>FY2026A ties to reported segment sales.</t>
        </is>
      </c>
    </row>
    <row r="71">
      <c r="B71" s="7" t="inlineStr">
        <is>
          <t>Revenue growth (calculated check row)</t>
        </is>
      </c>
      <c r="D71" s="19">
        <f>IF(C70=0,0,D70/C70-1)</f>
        <v/>
      </c>
      <c r="E71" s="19">
        <f>IF(D70=0,0,E70/D70-1)</f>
        <v/>
      </c>
      <c r="F71" s="19">
        <f>IF(E70=0,0,F70/E70-1)</f>
        <v/>
      </c>
      <c r="G71" s="19">
        <f>IF(F70=0,0,G70/F70-1)</f>
        <v/>
      </c>
      <c r="H71" s="19">
        <f>IF(G70=0,0,H70/G70-1)</f>
        <v/>
      </c>
      <c r="I71" s="19">
        <f>IF(H70=0,0,I70/H70-1)</f>
        <v/>
      </c>
      <c r="J71" s="19">
        <f>IF(I70=0,0,J70/I70-1)</f>
        <v/>
      </c>
      <c r="K71" s="19">
        <f>IF(J70=0,0,K70/J70-1)</f>
        <v/>
      </c>
      <c r="L71" s="19">
        <f>IF(K70=0,0,L70/K70-1)</f>
        <v/>
      </c>
      <c r="M71" s="19">
        <f>IF(L70=0,0,M70/L70-1)</f>
        <v/>
      </c>
      <c r="N71" s="10" t="inlineStr">
        <is>
          <t>%</t>
        </is>
      </c>
      <c r="O71" s="10" t="inlineStr"/>
    </row>
    <row r="72">
      <c r="B72" s="7" t="inlineStr">
        <is>
          <t>Cost of sales (merchandise, services and store occupancy)</t>
        </is>
      </c>
      <c r="C72" s="30">
        <f>'Model - NA'!C72+'Model - INTL'!C72+'Model - OTHER'!C72</f>
        <v/>
      </c>
      <c r="D72" s="30">
        <f>'Model - NA'!D72+'Model - INTL'!D72+'Model - OTHER'!D72</f>
        <v/>
      </c>
      <c r="E72" s="30">
        <f>'Model - NA'!E72+'Model - INTL'!E72+'Model - OTHER'!E72</f>
        <v/>
      </c>
      <c r="F72" s="30">
        <f>'Model - NA'!F72+'Model - INTL'!F72+'Model - OTHER'!F72</f>
        <v/>
      </c>
      <c r="G72" s="30">
        <f>'Model - NA'!G72+'Model - INTL'!G72+'Model - OTHER'!G72</f>
        <v/>
      </c>
      <c r="H72" s="30">
        <f>'Model - NA'!H72+'Model - INTL'!H72+'Model - OTHER'!H72</f>
        <v/>
      </c>
      <c r="I72" s="30">
        <f>'Model - NA'!I72+'Model - INTL'!I72+'Model - OTHER'!I72</f>
        <v/>
      </c>
      <c r="J72" s="30">
        <f>'Model - NA'!J72+'Model - INTL'!J72+'Model - OTHER'!J72</f>
        <v/>
      </c>
      <c r="K72" s="30">
        <f>'Model - NA'!K72+'Model - INTL'!K72+'Model - OTHER'!K72</f>
        <v/>
      </c>
      <c r="L72" s="30">
        <f>'Model - NA'!L72+'Model - INTL'!L72+'Model - OTHER'!L72</f>
        <v/>
      </c>
      <c r="M72" s="30">
        <f>'Model - NA'!M72+'Model - INTL'!M72+'Model - OTHER'!M72</f>
        <v/>
      </c>
      <c r="N72" s="10" t="inlineStr">
        <is>
          <t>$M</t>
        </is>
      </c>
      <c r="O72" s="10" t="inlineStr">
        <is>
          <t>Segment split of consolidated 4,119.0 is a team allocation (see Assumptions &amp; Sources).</t>
        </is>
      </c>
    </row>
    <row r="73">
      <c r="B73" s="3" t="inlineStr">
        <is>
          <t>Gross profit</t>
        </is>
      </c>
      <c r="C73" s="26">
        <f>C70-C72</f>
        <v/>
      </c>
      <c r="D73" s="26">
        <f>D70-D72</f>
        <v/>
      </c>
      <c r="E73" s="26">
        <f>E70-E72</f>
        <v/>
      </c>
      <c r="F73" s="26">
        <f>F70-F72</f>
        <v/>
      </c>
      <c r="G73" s="26">
        <f>G70-G72</f>
        <v/>
      </c>
      <c r="H73" s="26">
        <f>H70-H72</f>
        <v/>
      </c>
      <c r="I73" s="26">
        <f>I70-I72</f>
        <v/>
      </c>
      <c r="J73" s="26">
        <f>J70-J72</f>
        <v/>
      </c>
      <c r="K73" s="26">
        <f>K70-K72</f>
        <v/>
      </c>
      <c r="L73" s="26">
        <f>L70-L72</f>
        <v/>
      </c>
      <c r="M73" s="26">
        <f>M70-M72</f>
        <v/>
      </c>
      <c r="N73" s="10" t="inlineStr">
        <is>
          <t>$M</t>
        </is>
      </c>
      <c r="O73" s="10" t="inlineStr"/>
    </row>
    <row r="74">
      <c r="B74" s="7" t="inlineStr">
        <is>
          <t>Gross margin %</t>
        </is>
      </c>
      <c r="C74" s="19">
        <f>IF(C70=0,0,C73/C70)</f>
        <v/>
      </c>
      <c r="D74" s="19">
        <f>IF(D70=0,0,D73/D70)</f>
        <v/>
      </c>
      <c r="E74" s="19">
        <f>IF(E70=0,0,E73/E70)</f>
        <v/>
      </c>
      <c r="F74" s="19">
        <f>IF(F70=0,0,F73/F70)</f>
        <v/>
      </c>
      <c r="G74" s="19">
        <f>IF(G70=0,0,G73/G70)</f>
        <v/>
      </c>
      <c r="H74" s="19">
        <f>IF(H70=0,0,H73/H70)</f>
        <v/>
      </c>
      <c r="I74" s="19">
        <f>IF(I70=0,0,I73/I70)</f>
        <v/>
      </c>
      <c r="J74" s="19">
        <f>IF(J70=0,0,J73/J70)</f>
        <v/>
      </c>
      <c r="K74" s="19">
        <f>IF(K70=0,0,K73/K70)</f>
        <v/>
      </c>
      <c r="L74" s="19">
        <f>IF(L70=0,0,L73/L70)</f>
        <v/>
      </c>
      <c r="M74" s="19">
        <f>IF(M70=0,0,M73/M70)</f>
        <v/>
      </c>
      <c r="N74" s="10" t="inlineStr">
        <is>
          <t>%</t>
        </is>
      </c>
      <c r="O74" s="10" t="inlineStr"/>
    </row>
    <row r="75">
      <c r="B75" s="7" t="inlineStr">
        <is>
          <t>Variable SG&amp;A</t>
        </is>
      </c>
      <c r="C75" s="30">
        <f>'Model - NA'!C75+'Model - INTL'!C75+'Model - OTHER'!C75</f>
        <v/>
      </c>
      <c r="D75" s="30">
        <f>'Model - NA'!D75+'Model - INTL'!D75+'Model - OTHER'!D75</f>
        <v/>
      </c>
      <c r="E75" s="30">
        <f>'Model - NA'!E75+'Model - INTL'!E75+'Model - OTHER'!E75</f>
        <v/>
      </c>
      <c r="F75" s="30">
        <f>'Model - NA'!F75+'Model - INTL'!F75+'Model - OTHER'!F75</f>
        <v/>
      </c>
      <c r="G75" s="30">
        <f>'Model - NA'!G75+'Model - INTL'!G75+'Model - OTHER'!G75</f>
        <v/>
      </c>
      <c r="H75" s="30">
        <f>'Model - NA'!H75+'Model - INTL'!H75+'Model - OTHER'!H75</f>
        <v/>
      </c>
      <c r="I75" s="30">
        <f>'Model - NA'!I75+'Model - INTL'!I75+'Model - OTHER'!I75</f>
        <v/>
      </c>
      <c r="J75" s="30">
        <f>'Model - NA'!J75+'Model - INTL'!J75+'Model - OTHER'!J75</f>
        <v/>
      </c>
      <c r="K75" s="30">
        <f>'Model - NA'!K75+'Model - INTL'!K75+'Model - OTHER'!K75</f>
        <v/>
      </c>
      <c r="L75" s="30">
        <f>'Model - NA'!L75+'Model - INTL'!L75+'Model - OTHER'!L75</f>
        <v/>
      </c>
      <c r="M75" s="30">
        <f>'Model - NA'!M75+'Model - INTL'!M75+'Model - OTHER'!M75</f>
        <v/>
      </c>
      <c r="N75" s="10" t="inlineStr">
        <is>
          <t>$M</t>
        </is>
      </c>
      <c r="O75" s="10" t="inlineStr"/>
    </row>
    <row r="76">
      <c r="B76" s="7" t="inlineStr">
        <is>
          <t>Fixed SG&amp;A (net of cost savings)</t>
        </is>
      </c>
      <c r="C76" s="30">
        <f>'Model - NA'!C76+'Model - INTL'!C76+'Model - OTHER'!C76</f>
        <v/>
      </c>
      <c r="D76" s="30">
        <f>'Model - NA'!D76+'Model - INTL'!D76+'Model - OTHER'!D76</f>
        <v/>
      </c>
      <c r="E76" s="30">
        <f>'Model - NA'!E76+'Model - INTL'!E76+'Model - OTHER'!E76</f>
        <v/>
      </c>
      <c r="F76" s="30">
        <f>'Model - NA'!F76+'Model - INTL'!F76+'Model - OTHER'!F76</f>
        <v/>
      </c>
      <c r="G76" s="30">
        <f>'Model - NA'!G76+'Model - INTL'!G76+'Model - OTHER'!G76</f>
        <v/>
      </c>
      <c r="H76" s="30">
        <f>'Model - NA'!H76+'Model - INTL'!H76+'Model - OTHER'!H76</f>
        <v/>
      </c>
      <c r="I76" s="30">
        <f>'Model - NA'!I76+'Model - INTL'!I76+'Model - OTHER'!I76</f>
        <v/>
      </c>
      <c r="J76" s="30">
        <f>'Model - NA'!J76+'Model - INTL'!J76+'Model - OTHER'!J76</f>
        <v/>
      </c>
      <c r="K76" s="30">
        <f>'Model - NA'!K76+'Model - INTL'!K76+'Model - OTHER'!K76</f>
        <v/>
      </c>
      <c r="L76" s="30">
        <f>'Model - NA'!L76+'Model - INTL'!L76+'Model - OTHER'!L76</f>
        <v/>
      </c>
      <c r="M76" s="30">
        <f>'Model - NA'!M76+'Model - INTL'!M76+'Model - OTHER'!M76</f>
        <v/>
      </c>
      <c r="N76" s="10" t="inlineStr">
        <is>
          <t>$M</t>
        </is>
      </c>
      <c r="O76" s="10" t="inlineStr">
        <is>
          <t>Last Yr fixed SG&amp;A = segment SG&amp;A less variable component.</t>
        </is>
      </c>
    </row>
    <row r="77">
      <c r="B77" s="7" t="inlineStr">
        <is>
          <t>Total SG&amp;A</t>
        </is>
      </c>
      <c r="C77" s="21">
        <f>C75+C76</f>
        <v/>
      </c>
      <c r="D77" s="21">
        <f>D75+D76</f>
        <v/>
      </c>
      <c r="E77" s="21">
        <f>E75+E76</f>
        <v/>
      </c>
      <c r="F77" s="21">
        <f>F75+F76</f>
        <v/>
      </c>
      <c r="G77" s="21">
        <f>G75+G76</f>
        <v/>
      </c>
      <c r="H77" s="21">
        <f>H75+H76</f>
        <v/>
      </c>
      <c r="I77" s="21">
        <f>I75+I76</f>
        <v/>
      </c>
      <c r="J77" s="21">
        <f>J75+J76</f>
        <v/>
      </c>
      <c r="K77" s="21">
        <f>K75+K76</f>
        <v/>
      </c>
      <c r="L77" s="21">
        <f>L75+L76</f>
        <v/>
      </c>
      <c r="M77" s="21">
        <f>M75+M76</f>
        <v/>
      </c>
      <c r="N77" s="10" t="inlineStr">
        <is>
          <t>$M</t>
        </is>
      </c>
      <c r="O77" s="10" t="inlineStr"/>
    </row>
    <row r="78">
      <c r="B78" s="7" t="inlineStr">
        <is>
          <t>SG&amp;A % of sales</t>
        </is>
      </c>
      <c r="C78" s="19">
        <f>IF(C70=0,0,C77/C70)</f>
        <v/>
      </c>
      <c r="D78" s="19">
        <f>IF(D70=0,0,D77/D70)</f>
        <v/>
      </c>
      <c r="E78" s="19">
        <f>IF(E70=0,0,E77/E70)</f>
        <v/>
      </c>
      <c r="F78" s="19">
        <f>IF(F70=0,0,F77/F70)</f>
        <v/>
      </c>
      <c r="G78" s="19">
        <f>IF(G70=0,0,G77/G70)</f>
        <v/>
      </c>
      <c r="H78" s="19">
        <f>IF(H70=0,0,H77/H70)</f>
        <v/>
      </c>
      <c r="I78" s="19">
        <f>IF(I70=0,0,I77/I70)</f>
        <v/>
      </c>
      <c r="J78" s="19">
        <f>IF(J70=0,0,J77/J70)</f>
        <v/>
      </c>
      <c r="K78" s="19">
        <f>IF(K70=0,0,K77/K70)</f>
        <v/>
      </c>
      <c r="L78" s="19">
        <f>IF(L70=0,0,L77/L70)</f>
        <v/>
      </c>
      <c r="M78" s="19">
        <f>IF(M70=0,0,M77/M70)</f>
        <v/>
      </c>
      <c r="N78" s="10" t="inlineStr">
        <is>
          <t>%</t>
        </is>
      </c>
      <c r="O78" s="10" t="inlineStr"/>
    </row>
    <row r="79">
      <c r="B79" s="7" t="inlineStr">
        <is>
          <t>Other operating income / (expense)</t>
        </is>
      </c>
      <c r="C79" s="30">
        <f>'Model - NA'!C79+'Model - INTL'!C79+'Model - OTHER'!C79</f>
        <v/>
      </c>
      <c r="D79" s="30">
        <f>'Model - NA'!D79+'Model - INTL'!D79+'Model - OTHER'!D79</f>
        <v/>
      </c>
      <c r="E79" s="30">
        <f>'Model - NA'!E79+'Model - INTL'!E79+'Model - OTHER'!E79</f>
        <v/>
      </c>
      <c r="F79" s="30">
        <f>'Model - NA'!F79+'Model - INTL'!F79+'Model - OTHER'!F79</f>
        <v/>
      </c>
      <c r="G79" s="30">
        <f>'Model - NA'!G79+'Model - INTL'!G79+'Model - OTHER'!G79</f>
        <v/>
      </c>
      <c r="H79" s="30">
        <f>'Model - NA'!H79+'Model - INTL'!H79+'Model - OTHER'!H79</f>
        <v/>
      </c>
      <c r="I79" s="30">
        <f>'Model - NA'!I79+'Model - INTL'!I79+'Model - OTHER'!I79</f>
        <v/>
      </c>
      <c r="J79" s="30">
        <f>'Model - NA'!J79+'Model - INTL'!J79+'Model - OTHER'!J79</f>
        <v/>
      </c>
      <c r="K79" s="30">
        <f>'Model - NA'!K79+'Model - INTL'!K79+'Model - OTHER'!K79</f>
        <v/>
      </c>
      <c r="L79" s="30">
        <f>'Model - NA'!L79+'Model - INTL'!L79+'Model - OTHER'!L79</f>
        <v/>
      </c>
      <c r="M79" s="30">
        <f>'Model - NA'!M79+'Model - INTL'!M79+'Model - OTHER'!M79</f>
        <v/>
      </c>
      <c r="N79" s="10" t="inlineStr">
        <is>
          <t>$M</t>
        </is>
      </c>
      <c r="O79" s="10" t="inlineStr">
        <is>
          <t>Last Yr: impairments &amp; restructuring (consolidated -128.3); projection = one-time assumption row.</t>
        </is>
      </c>
    </row>
    <row r="80">
      <c r="B80" s="3" t="inlineStr">
        <is>
          <t>OPERATING INCOME</t>
        </is>
      </c>
      <c r="C80" s="26">
        <f>C73-C77+C79</f>
        <v/>
      </c>
      <c r="D80" s="26">
        <f>D73-D77+D79</f>
        <v/>
      </c>
      <c r="E80" s="26">
        <f>E73-E77+E79</f>
        <v/>
      </c>
      <c r="F80" s="26">
        <f>F73-F77+F79</f>
        <v/>
      </c>
      <c r="G80" s="26">
        <f>G73-G77+G79</f>
        <v/>
      </c>
      <c r="H80" s="26">
        <f>H73-H77+H79</f>
        <v/>
      </c>
      <c r="I80" s="26">
        <f>I73-I77+I79</f>
        <v/>
      </c>
      <c r="J80" s="26">
        <f>J73-J77+J79</f>
        <v/>
      </c>
      <c r="K80" s="26">
        <f>K73-K77+K79</f>
        <v/>
      </c>
      <c r="L80" s="26">
        <f>L73-L77+L79</f>
        <v/>
      </c>
      <c r="M80" s="26">
        <f>M73-M77+M79</f>
        <v/>
      </c>
      <c r="N80" s="10" t="inlineStr">
        <is>
          <t>$M</t>
        </is>
      </c>
      <c r="O80" s="10" t="inlineStr">
        <is>
          <t>FY2026A ties to reported segment operating income.</t>
        </is>
      </c>
    </row>
    <row r="81">
      <c r="B81" s="7" t="inlineStr">
        <is>
          <t>Operating margin %</t>
        </is>
      </c>
      <c r="C81" s="19">
        <f>IF(C70=0,0,C80/C70)</f>
        <v/>
      </c>
      <c r="D81" s="19">
        <f>IF(D70=0,0,D80/D70)</f>
        <v/>
      </c>
      <c r="E81" s="19">
        <f>IF(E70=0,0,E80/E70)</f>
        <v/>
      </c>
      <c r="F81" s="19">
        <f>IF(F70=0,0,F80/F70)</f>
        <v/>
      </c>
      <c r="G81" s="19">
        <f>IF(G70=0,0,G80/G70)</f>
        <v/>
      </c>
      <c r="H81" s="19">
        <f>IF(H70=0,0,H80/H70)</f>
        <v/>
      </c>
      <c r="I81" s="19">
        <f>IF(I70=0,0,I80/I70)</f>
        <v/>
      </c>
      <c r="J81" s="19">
        <f>IF(J70=0,0,J80/J70)</f>
        <v/>
      </c>
      <c r="K81" s="19">
        <f>IF(K70=0,0,K80/K70)</f>
        <v/>
      </c>
      <c r="L81" s="19">
        <f>IF(L70=0,0,L80/L70)</f>
        <v/>
      </c>
      <c r="M81" s="19">
        <f>IF(M70=0,0,M80/M70)</f>
        <v/>
      </c>
      <c r="N81" s="10" t="inlineStr">
        <is>
          <t>%</t>
        </is>
      </c>
      <c r="O81" s="10" t="inlineStr"/>
    </row>
    <row r="82">
      <c r="B82" s="7" t="inlineStr">
        <is>
          <t>Interest income on invested assets (yield x prior-year cash)</t>
        </is>
      </c>
      <c r="C82" s="30">
        <f>'Model - NA'!C82+'Model - INTL'!C82+'Model - OTHER'!C82</f>
        <v/>
      </c>
      <c r="D82" s="30">
        <f>'Model - NA'!D82+'Model - INTL'!D82+'Model - OTHER'!D82</f>
        <v/>
      </c>
      <c r="E82" s="30">
        <f>'Model - NA'!E82+'Model - INTL'!E82+'Model - OTHER'!E82</f>
        <v/>
      </c>
      <c r="F82" s="30">
        <f>'Model - NA'!F82+'Model - INTL'!F82+'Model - OTHER'!F82</f>
        <v/>
      </c>
      <c r="G82" s="30">
        <f>'Model - NA'!G82+'Model - INTL'!G82+'Model - OTHER'!G82</f>
        <v/>
      </c>
      <c r="H82" s="30">
        <f>'Model - NA'!H82+'Model - INTL'!H82+'Model - OTHER'!H82</f>
        <v/>
      </c>
      <c r="I82" s="30">
        <f>'Model - NA'!I82+'Model - INTL'!I82+'Model - OTHER'!I82</f>
        <v/>
      </c>
      <c r="J82" s="30">
        <f>'Model - NA'!J82+'Model - INTL'!J82+'Model - OTHER'!J82</f>
        <v/>
      </c>
      <c r="K82" s="30">
        <f>'Model - NA'!K82+'Model - INTL'!K82+'Model - OTHER'!K82</f>
        <v/>
      </c>
      <c r="L82" s="30">
        <f>'Model - NA'!L82+'Model - INTL'!L82+'Model - OTHER'!L82</f>
        <v/>
      </c>
      <c r="M82" s="30">
        <f>'Model - NA'!M82+'Model - INTL'!M82+'Model - OTHER'!M82</f>
        <v/>
      </c>
      <c r="N82" s="10" t="inlineStr">
        <is>
          <t>$M</t>
        </is>
      </c>
      <c r="O82" s="10" t="inlineStr">
        <is>
          <t>Last Yr = allocated share of 4.0 net interest + 1.0 other non-operating income.</t>
        </is>
      </c>
    </row>
    <row r="83">
      <c r="B83" s="7" t="inlineStr">
        <is>
          <t>Interest expense on debt (rate x prior-year debt)</t>
        </is>
      </c>
      <c r="C83" s="30">
        <f>'Model - NA'!C83+'Model - INTL'!C83+'Model - OTHER'!C83</f>
        <v/>
      </c>
      <c r="D83" s="30">
        <f>'Model - NA'!D83+'Model - INTL'!D83+'Model - OTHER'!D83</f>
        <v/>
      </c>
      <c r="E83" s="30">
        <f>'Model - NA'!E83+'Model - INTL'!E83+'Model - OTHER'!E83</f>
        <v/>
      </c>
      <c r="F83" s="30">
        <f>'Model - NA'!F83+'Model - INTL'!F83+'Model - OTHER'!F83</f>
        <v/>
      </c>
      <c r="G83" s="30">
        <f>'Model - NA'!G83+'Model - INTL'!G83+'Model - OTHER'!G83</f>
        <v/>
      </c>
      <c r="H83" s="30">
        <f>'Model - NA'!H83+'Model - INTL'!H83+'Model - OTHER'!H83</f>
        <v/>
      </c>
      <c r="I83" s="30">
        <f>'Model - NA'!I83+'Model - INTL'!I83+'Model - OTHER'!I83</f>
        <v/>
      </c>
      <c r="J83" s="30">
        <f>'Model - NA'!J83+'Model - INTL'!J83+'Model - OTHER'!J83</f>
        <v/>
      </c>
      <c r="K83" s="30">
        <f>'Model - NA'!K83+'Model - INTL'!K83+'Model - OTHER'!K83</f>
        <v/>
      </c>
      <c r="L83" s="30">
        <f>'Model - NA'!L83+'Model - INTL'!L83+'Model - OTHER'!L83</f>
        <v/>
      </c>
      <c r="M83" s="30">
        <f>'Model - NA'!M83+'Model - INTL'!M83+'Model - OTHER'!M83</f>
        <v/>
      </c>
      <c r="N83" s="10" t="inlineStr">
        <is>
          <t>$M</t>
        </is>
      </c>
      <c r="O83" s="10" t="inlineStr"/>
    </row>
    <row r="84">
      <c r="B84" s="3" t="inlineStr">
        <is>
          <t>Income before income taxes</t>
        </is>
      </c>
      <c r="C84" s="26">
        <f>C80+C82-C83</f>
        <v/>
      </c>
      <c r="D84" s="26">
        <f>D80+D82-D83</f>
        <v/>
      </c>
      <c r="E84" s="26">
        <f>E80+E82-E83</f>
        <v/>
      </c>
      <c r="F84" s="26">
        <f>F80+F82-F83</f>
        <v/>
      </c>
      <c r="G84" s="26">
        <f>G80+G82-G83</f>
        <v/>
      </c>
      <c r="H84" s="26">
        <f>H80+H82-H83</f>
        <v/>
      </c>
      <c r="I84" s="26">
        <f>I80+I82-I83</f>
        <v/>
      </c>
      <c r="J84" s="26">
        <f>J80+J82-J83</f>
        <v/>
      </c>
      <c r="K84" s="26">
        <f>K80+K82-K83</f>
        <v/>
      </c>
      <c r="L84" s="26">
        <f>L80+L82-L83</f>
        <v/>
      </c>
      <c r="M84" s="26">
        <f>M80+M82-M83</f>
        <v/>
      </c>
      <c r="N84" s="10" t="inlineStr">
        <is>
          <t>$M</t>
        </is>
      </c>
      <c r="O84" s="10" t="inlineStr"/>
    </row>
    <row r="85">
      <c r="B85" s="7" t="inlineStr">
        <is>
          <t>Pre-tax margin %</t>
        </is>
      </c>
      <c r="C85" s="19">
        <f>IF(C70=0,0,C84/C70)</f>
        <v/>
      </c>
      <c r="D85" s="19">
        <f>IF(D70=0,0,D84/D70)</f>
        <v/>
      </c>
      <c r="E85" s="19">
        <f>IF(E70=0,0,E84/E70)</f>
        <v/>
      </c>
      <c r="F85" s="19">
        <f>IF(F70=0,0,F84/F70)</f>
        <v/>
      </c>
      <c r="G85" s="19">
        <f>IF(G70=0,0,G84/G70)</f>
        <v/>
      </c>
      <c r="H85" s="19">
        <f>IF(H70=0,0,H84/H70)</f>
        <v/>
      </c>
      <c r="I85" s="19">
        <f>IF(I70=0,0,I84/I70)</f>
        <v/>
      </c>
      <c r="J85" s="19">
        <f>IF(J70=0,0,J84/J70)</f>
        <v/>
      </c>
      <c r="K85" s="19">
        <f>IF(K70=0,0,K84/K70)</f>
        <v/>
      </c>
      <c r="L85" s="19">
        <f>IF(L70=0,0,L84/L70)</f>
        <v/>
      </c>
      <c r="M85" s="19">
        <f>IF(M70=0,0,M84/M70)</f>
        <v/>
      </c>
      <c r="N85" s="10" t="inlineStr">
        <is>
          <t>%</t>
        </is>
      </c>
      <c r="O85" s="10" t="inlineStr"/>
    </row>
    <row r="86">
      <c r="B86" s="7" t="inlineStr">
        <is>
          <t>Income taxes</t>
        </is>
      </c>
      <c r="C86" s="30">
        <f>'Model - NA'!C86+'Model - INTL'!C86+'Model - OTHER'!C86</f>
        <v/>
      </c>
      <c r="D86" s="30">
        <f>'Model - NA'!D86+'Model - INTL'!D86+'Model - OTHER'!D86</f>
        <v/>
      </c>
      <c r="E86" s="30">
        <f>'Model - NA'!E86+'Model - INTL'!E86+'Model - OTHER'!E86</f>
        <v/>
      </c>
      <c r="F86" s="30">
        <f>'Model - NA'!F86+'Model - INTL'!F86+'Model - OTHER'!F86</f>
        <v/>
      </c>
      <c r="G86" s="30">
        <f>'Model - NA'!G86+'Model - INTL'!G86+'Model - OTHER'!G86</f>
        <v/>
      </c>
      <c r="H86" s="30">
        <f>'Model - NA'!H86+'Model - INTL'!H86+'Model - OTHER'!H86</f>
        <v/>
      </c>
      <c r="I86" s="30">
        <f>'Model - NA'!I86+'Model - INTL'!I86+'Model - OTHER'!I86</f>
        <v/>
      </c>
      <c r="J86" s="30">
        <f>'Model - NA'!J86+'Model - INTL'!J86+'Model - OTHER'!J86</f>
        <v/>
      </c>
      <c r="K86" s="30">
        <f>'Model - NA'!K86+'Model - INTL'!K86+'Model - OTHER'!K86</f>
        <v/>
      </c>
      <c r="L86" s="30">
        <f>'Model - NA'!L86+'Model - INTL'!L86+'Model - OTHER'!L86</f>
        <v/>
      </c>
      <c r="M86" s="30">
        <f>'Model - NA'!M86+'Model - INTL'!M86+'Model - OTHER'!M86</f>
        <v/>
      </c>
      <c r="N86" s="10" t="inlineStr">
        <is>
          <t>$M</t>
        </is>
      </c>
      <c r="O86" s="10" t="inlineStr">
        <is>
          <t>Last Yr = allocated share of 103.7 (26.0% effective rate).</t>
        </is>
      </c>
    </row>
    <row r="87">
      <c r="B87" s="3" t="inlineStr">
        <is>
          <t>NET INCOME</t>
        </is>
      </c>
      <c r="C87" s="26">
        <f>C84-C86</f>
        <v/>
      </c>
      <c r="D87" s="26">
        <f>D84-D86</f>
        <v/>
      </c>
      <c r="E87" s="26">
        <f>E84-E86</f>
        <v/>
      </c>
      <c r="F87" s="26">
        <f>F84-F86</f>
        <v/>
      </c>
      <c r="G87" s="26">
        <f>G84-G86</f>
        <v/>
      </c>
      <c r="H87" s="26">
        <f>H84-H86</f>
        <v/>
      </c>
      <c r="I87" s="26">
        <f>I84-I86</f>
        <v/>
      </c>
      <c r="J87" s="26">
        <f>J84-J86</f>
        <v/>
      </c>
      <c r="K87" s="26">
        <f>K84-K86</f>
        <v/>
      </c>
      <c r="L87" s="26">
        <f>L84-L86</f>
        <v/>
      </c>
      <c r="M87" s="26">
        <f>M84-M86</f>
        <v/>
      </c>
      <c r="N87" s="10" t="inlineStr">
        <is>
          <t>$M</t>
        </is>
      </c>
      <c r="O87" s="10" t="inlineStr"/>
    </row>
    <row r="88">
      <c r="B88" s="7" t="inlineStr">
        <is>
          <t>Net margin %</t>
        </is>
      </c>
      <c r="C88" s="19">
        <f>IF(C70=0,0,C87/C70)</f>
        <v/>
      </c>
      <c r="D88" s="19">
        <f>IF(D70=0,0,D87/D70)</f>
        <v/>
      </c>
      <c r="E88" s="19">
        <f>IF(E70=0,0,E87/E70)</f>
        <v/>
      </c>
      <c r="F88" s="19">
        <f>IF(F70=0,0,F87/F70)</f>
        <v/>
      </c>
      <c r="G88" s="19">
        <f>IF(G70=0,0,G87/G70)</f>
        <v/>
      </c>
      <c r="H88" s="19">
        <f>IF(H70=0,0,H87/H70)</f>
        <v/>
      </c>
      <c r="I88" s="19">
        <f>IF(I70=0,0,I87/I70)</f>
        <v/>
      </c>
      <c r="J88" s="19">
        <f>IF(J70=0,0,J87/J70)</f>
        <v/>
      </c>
      <c r="K88" s="19">
        <f>IF(K70=0,0,K87/K70)</f>
        <v/>
      </c>
      <c r="L88" s="19">
        <f>IF(L70=0,0,L87/L70)</f>
        <v/>
      </c>
      <c r="M88" s="19">
        <f>IF(M70=0,0,M87/M70)</f>
        <v/>
      </c>
      <c r="N88" s="10" t="inlineStr">
        <is>
          <t>%</t>
        </is>
      </c>
      <c r="O88" s="10" t="inlineStr"/>
    </row>
    <row r="90">
      <c r="A90" s="22" t="inlineStr">
        <is>
          <t>Valuation</t>
        </is>
      </c>
      <c r="B90" s="23" t="inlineStr">
        <is>
          <t>DISTRIBUTIONS &amp; VALUATION (profits-released approach)</t>
        </is>
      </c>
      <c r="C90" s="24" t="n"/>
      <c r="D90" s="24" t="n"/>
      <c r="E90" s="24" t="n"/>
      <c r="F90" s="24" t="n"/>
      <c r="G90" s="24" t="n"/>
      <c r="H90" s="24" t="n"/>
      <c r="I90" s="24" t="n"/>
      <c r="J90" s="24" t="n"/>
      <c r="K90" s="24" t="n"/>
      <c r="L90" s="24" t="n"/>
      <c r="M90" s="24" t="n"/>
      <c r="N90" s="24" t="n"/>
      <c r="O90" s="24" t="n"/>
    </row>
    <row r="91">
      <c r="B91" s="7" t="inlineStr">
        <is>
          <t>Distributions to shareholders (dividends + buybacks = net income)</t>
        </is>
      </c>
      <c r="C91" s="21">
        <f>C87</f>
        <v/>
      </c>
      <c r="D91" s="21">
        <f>D87</f>
        <v/>
      </c>
      <c r="E91" s="21">
        <f>E87</f>
        <v/>
      </c>
      <c r="F91" s="21">
        <f>F87</f>
        <v/>
      </c>
      <c r="G91" s="21">
        <f>G87</f>
        <v/>
      </c>
      <c r="H91" s="21">
        <f>H87</f>
        <v/>
      </c>
      <c r="I91" s="21">
        <f>I87</f>
        <v/>
      </c>
      <c r="J91" s="21">
        <f>J87</f>
        <v/>
      </c>
      <c r="K91" s="21">
        <f>K87</f>
        <v/>
      </c>
      <c r="L91" s="21">
        <f>L87</f>
        <v/>
      </c>
      <c r="M91" s="21">
        <f>M87</f>
        <v/>
      </c>
      <c r="N91" s="10" t="inlineStr">
        <is>
          <t>$M</t>
        </is>
      </c>
      <c r="O91" s="10" t="inlineStr">
        <is>
          <t>Profits released: 100% of net income distributed (dividends + buybacks).</t>
        </is>
      </c>
    </row>
    <row r="92">
      <c r="B92" s="7" t="inlineStr">
        <is>
          <t>Earnings retained in equity</t>
        </is>
      </c>
      <c r="C92" s="21">
        <f>C87-C91</f>
        <v/>
      </c>
      <c r="D92" s="21">
        <f>D87-D91</f>
        <v/>
      </c>
      <c r="E92" s="21">
        <f>E87-E91</f>
        <v/>
      </c>
      <c r="F92" s="21">
        <f>F87-F91</f>
        <v/>
      </c>
      <c r="G92" s="21">
        <f>G87-G91</f>
        <v/>
      </c>
      <c r="H92" s="21">
        <f>H87-H91</f>
        <v/>
      </c>
      <c r="I92" s="21">
        <f>I87-I91</f>
        <v/>
      </c>
      <c r="J92" s="21">
        <f>J87-J91</f>
        <v/>
      </c>
      <c r="K92" s="21">
        <f>K87-K91</f>
        <v/>
      </c>
      <c r="L92" s="21">
        <f>L87-L91</f>
        <v/>
      </c>
      <c r="M92" s="21">
        <f>M87-M91</f>
        <v/>
      </c>
      <c r="N92" s="10" t="inlineStr">
        <is>
          <t>$M</t>
        </is>
      </c>
      <c r="O92" s="10" t="inlineStr">
        <is>
          <t>Zero under profits released; would be positive under profits retained.</t>
        </is>
      </c>
    </row>
    <row r="93">
      <c r="B93" s="7" t="inlineStr">
        <is>
          <t>Distributable cash flow to shareholders (discounted below)</t>
        </is>
      </c>
      <c r="D93" s="30">
        <f>'Model - NA'!D93+'Model - INTL'!D93+'Model - OTHER'!D93</f>
        <v/>
      </c>
      <c r="E93" s="30">
        <f>'Model - NA'!E93+'Model - INTL'!E93+'Model - OTHER'!E93</f>
        <v/>
      </c>
      <c r="F93" s="30">
        <f>'Model - NA'!F93+'Model - INTL'!F93+'Model - OTHER'!F93</f>
        <v/>
      </c>
      <c r="G93" s="30">
        <f>'Model - NA'!G93+'Model - INTL'!G93+'Model - OTHER'!G93</f>
        <v/>
      </c>
      <c r="H93" s="30">
        <f>'Model - NA'!H93+'Model - INTL'!H93+'Model - OTHER'!H93</f>
        <v/>
      </c>
      <c r="I93" s="30">
        <f>'Model - NA'!I93+'Model - INTL'!I93+'Model - OTHER'!I93</f>
        <v/>
      </c>
      <c r="J93" s="30">
        <f>'Model - NA'!J93+'Model - INTL'!J93+'Model - OTHER'!J93</f>
        <v/>
      </c>
      <c r="K93" s="30">
        <f>'Model - NA'!K93+'Model - INTL'!K93+'Model - OTHER'!K93</f>
        <v/>
      </c>
      <c r="L93" s="30">
        <f>'Model - NA'!L93+'Model - INTL'!L93+'Model - OTHER'!L93</f>
        <v/>
      </c>
      <c r="M93" s="30">
        <f>'Model - NA'!M93+'Model - INTL'!M93+'Model - OTHER'!M93</f>
        <v/>
      </c>
      <c r="N93" s="10" t="inlineStr">
        <is>
          <t>$M</t>
        </is>
      </c>
      <c r="O93" s="10" t="inlineStr"/>
    </row>
    <row r="94">
      <c r="B94" s="7" t="inlineStr">
        <is>
          <t>Discount rate used (from scenario block)</t>
        </is>
      </c>
      <c r="C94" s="31" t="inlineStr">
        <is>
          <t>n/a</t>
        </is>
      </c>
      <c r="N94" s="10" t="inlineStr">
        <is>
          <t>%</t>
        </is>
      </c>
      <c r="O94" s="10" t="inlineStr">
        <is>
          <t>n/a at total level: discount rates are applied segment by segment.</t>
        </is>
      </c>
    </row>
    <row r="95">
      <c r="B95" s="7" t="inlineStr">
        <is>
          <t>Terminal value = shareholders' equity at end of FY2036</t>
        </is>
      </c>
      <c r="C95" s="30">
        <f>'Model - NA'!C95+'Model - INTL'!C95+'Model - OTHER'!C95</f>
        <v/>
      </c>
      <c r="N95" s="10" t="inlineStr">
        <is>
          <t>$M</t>
        </is>
      </c>
      <c r="O95" s="10" t="inlineStr"/>
    </row>
    <row r="96">
      <c r="B96" s="7" t="inlineStr">
        <is>
          <t>PV of FY2027-FY2036 distributable cash flows</t>
        </is>
      </c>
      <c r="C96" s="30">
        <f>'Model - NA'!C96+'Model - INTL'!C96+'Model - OTHER'!C96</f>
        <v/>
      </c>
      <c r="N96" s="10" t="inlineStr">
        <is>
          <t>$M</t>
        </is>
      </c>
      <c r="O96" s="10" t="inlineStr">
        <is>
          <t>NPV over the 10 model years (end-of-year cash flows).</t>
        </is>
      </c>
    </row>
    <row r="97">
      <c r="B97" s="7" t="inlineStr">
        <is>
          <t>PV of terminal value</t>
        </is>
      </c>
      <c r="C97" s="30">
        <f>'Model - NA'!C97+'Model - INTL'!C97+'Model - OTHER'!C97</f>
        <v/>
      </c>
      <c r="N97" s="10" t="inlineStr">
        <is>
          <t>$M</t>
        </is>
      </c>
      <c r="O97" s="10" t="inlineStr">
        <is>
          <t>Terminal equity discounted 10 years.</t>
        </is>
      </c>
    </row>
    <row r="98">
      <c r="B98" s="3" t="inlineStr">
        <is>
          <t>SEGMENT VALUE - BASELINE (snapshot, hard-coded for 3(d) comparison)</t>
        </is>
      </c>
      <c r="C98" s="32">
        <f>'Model - NA'!C98+'Model - INTL'!C98+'Model - OTHER'!C98</f>
        <v/>
      </c>
      <c r="N98" s="10" t="inlineStr">
        <is>
          <t>$M</t>
        </is>
      </c>
      <c r="O98" s="10" t="inlineStr">
        <is>
          <t>Sum of the three segment baseline snapshots (green links).</t>
        </is>
      </c>
    </row>
    <row r="99">
      <c r="B99" s="3" t="inlineStr">
        <is>
          <t>SEGMENT VALUE - SCENARIO RUN (live formula)</t>
        </is>
      </c>
      <c r="C99" s="26">
        <f>C96+C97</f>
        <v/>
      </c>
      <c r="N99" s="10" t="inlineStr">
        <is>
          <t>$M</t>
        </is>
      </c>
      <c r="O99" s="10" t="inlineStr">
        <is>
          <t>PV of distributable cash flows + PV of terminal equity.</t>
        </is>
      </c>
    </row>
    <row r="100">
      <c r="B100" s="7" t="inlineStr">
        <is>
          <t>% change vs baseline</t>
        </is>
      </c>
      <c r="C100" s="19">
        <f>IF(C98=0,0,C99/C98-1)</f>
        <v/>
      </c>
      <c r="N100" s="10" t="inlineStr">
        <is>
          <t>%</t>
        </is>
      </c>
      <c r="O100" s="10" t="inlineStr"/>
    </row>
    <row r="101">
      <c r="B101" s="7" t="inlineStr">
        <is>
          <t>$ change vs baseline</t>
        </is>
      </c>
      <c r="C101" s="21">
        <f>C99-C98</f>
        <v/>
      </c>
      <c r="N101" s="10" t="inlineStr">
        <is>
          <t>$M</t>
        </is>
      </c>
      <c r="O101" s="10" t="inlineStr"/>
    </row>
    <row r="103">
      <c r="A103" s="22" t="inlineStr">
        <is>
          <t>Balance sheet</t>
        </is>
      </c>
      <c r="B103" s="23" t="inlineStr">
        <is>
          <t>BALANCE SHEET (simplified, cash basis, year-end)</t>
        </is>
      </c>
      <c r="C103" s="24" t="n"/>
      <c r="D103" s="24" t="n"/>
      <c r="E103" s="24" t="n"/>
      <c r="F103" s="24" t="n"/>
      <c r="G103" s="24" t="n"/>
      <c r="H103" s="24" t="n"/>
      <c r="I103" s="24" t="n"/>
      <c r="J103" s="24" t="n"/>
      <c r="K103" s="24" t="n"/>
      <c r="L103" s="24" t="n"/>
      <c r="M103" s="24" t="n"/>
      <c r="N103" s="24" t="n"/>
      <c r="O103" s="24" t="n"/>
    </row>
    <row r="104">
      <c r="B104" s="7" t="inlineStr">
        <is>
          <t>Invested assets (cash &amp; cash equivalents)</t>
        </is>
      </c>
      <c r="C104" s="30">
        <f>'Model - NA'!C104+'Model - INTL'!C104+'Model - OTHER'!C104</f>
        <v/>
      </c>
      <c r="D104" s="30">
        <f>'Model - NA'!D104+'Model - INTL'!D104+'Model - OTHER'!D104</f>
        <v/>
      </c>
      <c r="E104" s="30">
        <f>'Model - NA'!E104+'Model - INTL'!E104+'Model - OTHER'!E104</f>
        <v/>
      </c>
      <c r="F104" s="30">
        <f>'Model - NA'!F104+'Model - INTL'!F104+'Model - OTHER'!F104</f>
        <v/>
      </c>
      <c r="G104" s="30">
        <f>'Model - NA'!G104+'Model - INTL'!G104+'Model - OTHER'!G104</f>
        <v/>
      </c>
      <c r="H104" s="30">
        <f>'Model - NA'!H104+'Model - INTL'!H104+'Model - OTHER'!H104</f>
        <v/>
      </c>
      <c r="I104" s="30">
        <f>'Model - NA'!I104+'Model - INTL'!I104+'Model - OTHER'!I104</f>
        <v/>
      </c>
      <c r="J104" s="30">
        <f>'Model - NA'!J104+'Model - INTL'!J104+'Model - OTHER'!J104</f>
        <v/>
      </c>
      <c r="K104" s="30">
        <f>'Model - NA'!K104+'Model - INTL'!K104+'Model - OTHER'!K104</f>
        <v/>
      </c>
      <c r="L104" s="30">
        <f>'Model - NA'!L104+'Model - INTL'!L104+'Model - OTHER'!L104</f>
        <v/>
      </c>
      <c r="M104" s="30">
        <f>'Model - NA'!M104+'Model - INTL'!M104+'Model - OTHER'!M104</f>
        <v/>
      </c>
      <c r="N104" s="10" t="inlineStr">
        <is>
          <t>$M</t>
        </is>
      </c>
      <c r="O104" s="10" t="inlineStr">
        <is>
          <t>Static under profits released (grows only by retained earnings).</t>
        </is>
      </c>
    </row>
    <row r="105">
      <c r="B105" s="7" t="inlineStr">
        <is>
          <t>Inventory and other non-depreciating operating assets</t>
        </is>
      </c>
      <c r="C105" s="30">
        <f>'Model - NA'!C105+'Model - INTL'!C105+'Model - OTHER'!C105</f>
        <v/>
      </c>
      <c r="D105" s="30">
        <f>'Model - NA'!D105+'Model - INTL'!D105+'Model - OTHER'!D105</f>
        <v/>
      </c>
      <c r="E105" s="30">
        <f>'Model - NA'!E105+'Model - INTL'!E105+'Model - OTHER'!E105</f>
        <v/>
      </c>
      <c r="F105" s="30">
        <f>'Model - NA'!F105+'Model - INTL'!F105+'Model - OTHER'!F105</f>
        <v/>
      </c>
      <c r="G105" s="30">
        <f>'Model - NA'!G105+'Model - INTL'!G105+'Model - OTHER'!G105</f>
        <v/>
      </c>
      <c r="H105" s="30">
        <f>'Model - NA'!H105+'Model - INTL'!H105+'Model - OTHER'!H105</f>
        <v/>
      </c>
      <c r="I105" s="30">
        <f>'Model - NA'!I105+'Model - INTL'!I105+'Model - OTHER'!I105</f>
        <v/>
      </c>
      <c r="J105" s="30">
        <f>'Model - NA'!J105+'Model - INTL'!J105+'Model - OTHER'!J105</f>
        <v/>
      </c>
      <c r="K105" s="30">
        <f>'Model - NA'!K105+'Model - INTL'!K105+'Model - OTHER'!K105</f>
        <v/>
      </c>
      <c r="L105" s="30">
        <f>'Model - NA'!L105+'Model - INTL'!L105+'Model - OTHER'!L105</f>
        <v/>
      </c>
      <c r="M105" s="30">
        <f>'Model - NA'!M105+'Model - INTL'!M105+'Model - OTHER'!M105</f>
        <v/>
      </c>
      <c r="N105" s="10" t="inlineStr">
        <is>
          <t>$M</t>
        </is>
      </c>
      <c r="O105" s="10" t="inlineStr">
        <is>
          <t>Non-depreciating operating asset held flat (no working-capital build modelled).</t>
        </is>
      </c>
    </row>
    <row r="106">
      <c r="B106" s="3" t="inlineStr">
        <is>
          <t>Total assets</t>
        </is>
      </c>
      <c r="C106" s="26">
        <f>C104+C105</f>
        <v/>
      </c>
      <c r="D106" s="26">
        <f>D104+D105</f>
        <v/>
      </c>
      <c r="E106" s="26">
        <f>E104+E105</f>
        <v/>
      </c>
      <c r="F106" s="26">
        <f>F104+F105</f>
        <v/>
      </c>
      <c r="G106" s="26">
        <f>G104+G105</f>
        <v/>
      </c>
      <c r="H106" s="26">
        <f>H104+H105</f>
        <v/>
      </c>
      <c r="I106" s="26">
        <f>I104+I105</f>
        <v/>
      </c>
      <c r="J106" s="26">
        <f>J104+J105</f>
        <v/>
      </c>
      <c r="K106" s="26">
        <f>K104+K105</f>
        <v/>
      </c>
      <c r="L106" s="26">
        <f>L104+L105</f>
        <v/>
      </c>
      <c r="M106" s="26">
        <f>M104+M105</f>
        <v/>
      </c>
      <c r="N106" s="10" t="inlineStr">
        <is>
          <t>$M</t>
        </is>
      </c>
      <c r="O106" s="10" t="inlineStr"/>
    </row>
    <row r="107">
      <c r="B107" s="7" t="inlineStr">
        <is>
          <t>Debt</t>
        </is>
      </c>
      <c r="C107" s="30">
        <f>'Model - NA'!C107+'Model - INTL'!C107+'Model - OTHER'!C107</f>
        <v/>
      </c>
      <c r="D107" s="30">
        <f>'Model - NA'!D107+'Model - INTL'!D107+'Model - OTHER'!D107</f>
        <v/>
      </c>
      <c r="E107" s="30">
        <f>'Model - NA'!E107+'Model - INTL'!E107+'Model - OTHER'!E107</f>
        <v/>
      </c>
      <c r="F107" s="30">
        <f>'Model - NA'!F107+'Model - INTL'!F107+'Model - OTHER'!F107</f>
        <v/>
      </c>
      <c r="G107" s="30">
        <f>'Model - NA'!G107+'Model - INTL'!G107+'Model - OTHER'!G107</f>
        <v/>
      </c>
      <c r="H107" s="30">
        <f>'Model - NA'!H107+'Model - INTL'!H107+'Model - OTHER'!H107</f>
        <v/>
      </c>
      <c r="I107" s="30">
        <f>'Model - NA'!I107+'Model - INTL'!I107+'Model - OTHER'!I107</f>
        <v/>
      </c>
      <c r="J107" s="30">
        <f>'Model - NA'!J107+'Model - INTL'!J107+'Model - OTHER'!J107</f>
        <v/>
      </c>
      <c r="K107" s="30">
        <f>'Model - NA'!K107+'Model - INTL'!K107+'Model - OTHER'!K107</f>
        <v/>
      </c>
      <c r="L107" s="30">
        <f>'Model - NA'!L107+'Model - INTL'!L107+'Model - OTHER'!L107</f>
        <v/>
      </c>
      <c r="M107" s="30">
        <f>'Model - NA'!M107+'Model - INTL'!M107+'Model - OTHER'!M107</f>
        <v/>
      </c>
      <c r="N107" s="10" t="inlineStr">
        <is>
          <t>$M</t>
        </is>
      </c>
      <c r="O107" s="10" t="inlineStr"/>
    </row>
    <row r="108">
      <c r="B108" s="7" t="inlineStr">
        <is>
          <t>Other liabilities, net (calibrated to reported equity)</t>
        </is>
      </c>
      <c r="C108" s="30">
        <f>'Model - NA'!C108+'Model - INTL'!C108+'Model - OTHER'!C108</f>
        <v/>
      </c>
      <c r="D108" s="30">
        <f>'Model - NA'!D108+'Model - INTL'!D108+'Model - OTHER'!D108</f>
        <v/>
      </c>
      <c r="E108" s="30">
        <f>'Model - NA'!E108+'Model - INTL'!E108+'Model - OTHER'!E108</f>
        <v/>
      </c>
      <c r="F108" s="30">
        <f>'Model - NA'!F108+'Model - INTL'!F108+'Model - OTHER'!F108</f>
        <v/>
      </c>
      <c r="G108" s="30">
        <f>'Model - NA'!G108+'Model - INTL'!G108+'Model - OTHER'!G108</f>
        <v/>
      </c>
      <c r="H108" s="30">
        <f>'Model - NA'!H108+'Model - INTL'!H108+'Model - OTHER'!H108</f>
        <v/>
      </c>
      <c r="I108" s="30">
        <f>'Model - NA'!I108+'Model - INTL'!I108+'Model - OTHER'!I108</f>
        <v/>
      </c>
      <c r="J108" s="30">
        <f>'Model - NA'!J108+'Model - INTL'!J108+'Model - OTHER'!J108</f>
        <v/>
      </c>
      <c r="K108" s="30">
        <f>'Model - NA'!K108+'Model - INTL'!K108+'Model - OTHER'!K108</f>
        <v/>
      </c>
      <c r="L108" s="30">
        <f>'Model - NA'!L108+'Model - INTL'!L108+'Model - OTHER'!L108</f>
        <v/>
      </c>
      <c r="M108" s="30">
        <f>'Model - NA'!M108+'Model - INTL'!M108+'Model - OTHER'!M108</f>
        <v/>
      </c>
      <c r="N108" s="10" t="inlineStr">
        <is>
          <t>$M</t>
        </is>
      </c>
      <c r="O108" s="10" t="inlineStr">
        <is>
          <t>Plug so that FY2026A simplified equity = reported shareholders' equity 1,966.2.</t>
        </is>
      </c>
    </row>
    <row r="109">
      <c r="B109" s="3" t="inlineStr">
        <is>
          <t>Total liabilities</t>
        </is>
      </c>
      <c r="C109" s="26">
        <f>C107+C108</f>
        <v/>
      </c>
      <c r="D109" s="26">
        <f>D107+D108</f>
        <v/>
      </c>
      <c r="E109" s="26">
        <f>E107+E108</f>
        <v/>
      </c>
      <c r="F109" s="26">
        <f>F107+F108</f>
        <v/>
      </c>
      <c r="G109" s="26">
        <f>G107+G108</f>
        <v/>
      </c>
      <c r="H109" s="26">
        <f>H107+H108</f>
        <v/>
      </c>
      <c r="I109" s="26">
        <f>I107+I108</f>
        <v/>
      </c>
      <c r="J109" s="26">
        <f>J107+J108</f>
        <v/>
      </c>
      <c r="K109" s="26">
        <f>K107+K108</f>
        <v/>
      </c>
      <c r="L109" s="26">
        <f>L107+L108</f>
        <v/>
      </c>
      <c r="M109" s="26">
        <f>M107+M108</f>
        <v/>
      </c>
      <c r="N109" s="10" t="inlineStr">
        <is>
          <t>$M</t>
        </is>
      </c>
      <c r="O109" s="10" t="inlineStr"/>
    </row>
    <row r="110">
      <c r="B110" s="3" t="inlineStr">
        <is>
          <t>SHAREHOLDERS' EQUITY</t>
        </is>
      </c>
      <c r="C110" s="26">
        <f>C106-C109</f>
        <v/>
      </c>
      <c r="D110" s="26">
        <f>D106-D109</f>
        <v/>
      </c>
      <c r="E110" s="26">
        <f>E106-E109</f>
        <v/>
      </c>
      <c r="F110" s="26">
        <f>F106-F109</f>
        <v/>
      </c>
      <c r="G110" s="26">
        <f>G106-G109</f>
        <v/>
      </c>
      <c r="H110" s="26">
        <f>H106-H109</f>
        <v/>
      </c>
      <c r="I110" s="26">
        <f>I106-I109</f>
        <v/>
      </c>
      <c r="J110" s="26">
        <f>J106-J109</f>
        <v/>
      </c>
      <c r="K110" s="26">
        <f>K106-K109</f>
        <v/>
      </c>
      <c r="L110" s="26">
        <f>L106-L109</f>
        <v/>
      </c>
      <c r="M110" s="26">
        <f>M106-M109</f>
        <v/>
      </c>
      <c r="N110" s="10" t="inlineStr">
        <is>
          <t>$M</t>
        </is>
      </c>
      <c r="O110" s="10" t="inlineStr">
        <is>
          <t>FY2026A total = 1,966.2 reported shareholders' equity.</t>
        </is>
      </c>
    </row>
    <row r="111">
      <c r="B111" s="7" t="inlineStr">
        <is>
          <t>Equity roll-forward check: Equity(t) - [Equity(t-1) + Net income(t) - Distributions(t)]  (= 0)</t>
        </is>
      </c>
      <c r="D111" s="21">
        <f>D110-(C110+D87-D91)</f>
        <v/>
      </c>
      <c r="E111" s="21">
        <f>E110-(D110+E87-E91)</f>
        <v/>
      </c>
      <c r="F111" s="21">
        <f>F110-(E110+F87-F91)</f>
        <v/>
      </c>
      <c r="G111" s="21">
        <f>G110-(F110+G87-G91)</f>
        <v/>
      </c>
      <c r="H111" s="21">
        <f>H110-(G110+H87-H91)</f>
        <v/>
      </c>
      <c r="I111" s="21">
        <f>I110-(H110+I87-I91)</f>
        <v/>
      </c>
      <c r="J111" s="21">
        <f>J110-(I110+J87-J91)</f>
        <v/>
      </c>
      <c r="K111" s="21">
        <f>K110-(J110+K87-K91)</f>
        <v/>
      </c>
      <c r="L111" s="21">
        <f>L110-(K110+L87-L91)</f>
        <v/>
      </c>
      <c r="M111" s="21">
        <f>M110-(L110+M87-M91)</f>
        <v/>
      </c>
      <c r="N111" s="10" t="inlineStr">
        <is>
          <t>$M</t>
        </is>
      </c>
      <c r="O111" s="10" t="inlineStr"/>
    </row>
    <row r="112">
      <c r="B112" s="7" t="inlineStr">
        <is>
          <t>Balance check: Total assets - Total liabilities - Equity  (= 0)</t>
        </is>
      </c>
      <c r="C112" s="21">
        <f>C106-C109-C110</f>
        <v/>
      </c>
      <c r="D112" s="21">
        <f>D106-D109-D110</f>
        <v/>
      </c>
      <c r="E112" s="21">
        <f>E106-E109-E110</f>
        <v/>
      </c>
      <c r="F112" s="21">
        <f>F106-F109-F110</f>
        <v/>
      </c>
      <c r="G112" s="21">
        <f>G106-G109-G110</f>
        <v/>
      </c>
      <c r="H112" s="21">
        <f>H106-H109-H110</f>
        <v/>
      </c>
      <c r="I112" s="21">
        <f>I106-I109-I110</f>
        <v/>
      </c>
      <c r="J112" s="21">
        <f>J106-J109-J110</f>
        <v/>
      </c>
      <c r="K112" s="21">
        <f>K106-K109-K110</f>
        <v/>
      </c>
      <c r="L112" s="21">
        <f>L106-L109-L110</f>
        <v/>
      </c>
      <c r="M112" s="21">
        <f>M106-M109-M110</f>
        <v/>
      </c>
      <c r="N112" s="10" t="inlineStr">
        <is>
          <t>$M</t>
        </is>
      </c>
      <c r="O112" s="10" t="inlineStr"/>
    </row>
    <row r="114">
      <c r="A114" s="12" t="inlineStr">
        <is>
          <t>KEY METRICS (total company level)</t>
        </is>
      </c>
      <c r="B114" s="13" t="n"/>
      <c r="C114" s="13" t="n"/>
      <c r="D114" s="13" t="n"/>
      <c r="E114" s="13" t="n"/>
      <c r="F114" s="13" t="n"/>
      <c r="G114" s="13" t="n"/>
      <c r="H114" s="13" t="n"/>
      <c r="I114" s="13" t="n"/>
      <c r="J114" s="13" t="n"/>
      <c r="K114" s="13" t="n"/>
      <c r="L114" s="13" t="n"/>
      <c r="M114" s="13" t="n"/>
      <c r="N114" s="13" t="n"/>
      <c r="O114" s="13" t="n"/>
    </row>
    <row r="115">
      <c r="B115" s="7" t="inlineStr">
        <is>
          <t>Diluted weighted average shares (millions)</t>
        </is>
      </c>
      <c r="C115" s="20" t="n">
        <v>41.6</v>
      </c>
      <c r="D115" s="20" t="n">
        <v>38.8</v>
      </c>
      <c r="E115" s="21">
        <f>D115</f>
        <v/>
      </c>
      <c r="F115" s="21">
        <f>E115</f>
        <v/>
      </c>
      <c r="G115" s="21">
        <f>F115</f>
        <v/>
      </c>
      <c r="H115" s="21">
        <f>G115</f>
        <v/>
      </c>
      <c r="I115" s="21">
        <f>H115</f>
        <v/>
      </c>
      <c r="J115" s="21">
        <f>I115</f>
        <v/>
      </c>
      <c r="K115" s="21">
        <f>J115</f>
        <v/>
      </c>
      <c r="L115" s="21">
        <f>K115</f>
        <v/>
      </c>
      <c r="M115" s="21">
        <f>L115</f>
        <v/>
      </c>
      <c r="N115" s="10" t="inlineStr">
        <is>
          <t>millions</t>
        </is>
      </c>
      <c r="O115" s="10" t="inlineStr">
        <is>
          <t>FY2026A implied (294.4 / $7.08); FY2027 per guidance (~38.8M); held flat thereafter (buybacks not modelled).</t>
        </is>
      </c>
    </row>
    <row r="116">
      <c r="B116" s="3" t="inlineStr">
        <is>
          <t>Diluted EPS (net income / diluted shares)</t>
        </is>
      </c>
      <c r="C116" s="33">
        <f>IF(C115=0,0,C87/C115)</f>
        <v/>
      </c>
      <c r="D116" s="33">
        <f>IF(D115=0,0,D87/D115)</f>
        <v/>
      </c>
      <c r="E116" s="33">
        <f>IF(E115=0,0,E87/E115)</f>
        <v/>
      </c>
      <c r="F116" s="33">
        <f>IF(F115=0,0,F87/F115)</f>
        <v/>
      </c>
      <c r="G116" s="33">
        <f>IF(G115=0,0,G87/G115)</f>
        <v/>
      </c>
      <c r="H116" s="33">
        <f>IF(H115=0,0,H87/H115)</f>
        <v/>
      </c>
      <c r="I116" s="33">
        <f>IF(I115=0,0,I87/I115)</f>
        <v/>
      </c>
      <c r="J116" s="33">
        <f>IF(J115=0,0,J87/J115)</f>
        <v/>
      </c>
      <c r="K116" s="33">
        <f>IF(K115=0,0,K87/K115)</f>
        <v/>
      </c>
      <c r="L116" s="33">
        <f>IF(L115=0,0,L87/L115)</f>
        <v/>
      </c>
      <c r="M116" s="33">
        <f>IF(M115=0,0,M87/M115)</f>
        <v/>
      </c>
      <c r="N116" s="10" t="inlineStr">
        <is>
          <t>$ per share</t>
        </is>
      </c>
      <c r="O116" s="10" t="inlineStr">
        <is>
          <t>FY2027 adjusted EPS guidance $10.45-12.15; consensus $10.76 (FY27), $12.27 (FY28).</t>
        </is>
      </c>
    </row>
    <row r="117">
      <c r="B117" s="7" t="inlineStr">
        <is>
          <t>Return on equity (net income / prior-year equity; Last Yr on year-end equity)</t>
        </is>
      </c>
      <c r="C117" s="19">
        <f>IF(C110=0,0,C87/C110)</f>
        <v/>
      </c>
      <c r="D117" s="19">
        <f>IF(C110=0,0,D87/C110)</f>
        <v/>
      </c>
      <c r="E117" s="19">
        <f>IF(D110=0,0,E87/D110)</f>
        <v/>
      </c>
      <c r="F117" s="19">
        <f>IF(E110=0,0,F87/E110)</f>
        <v/>
      </c>
      <c r="G117" s="19">
        <f>IF(F110=0,0,G87/F110)</f>
        <v/>
      </c>
      <c r="H117" s="19">
        <f>IF(G110=0,0,H87/G110)</f>
        <v/>
      </c>
      <c r="I117" s="19">
        <f>IF(H110=0,0,I87/H110)</f>
        <v/>
      </c>
      <c r="J117" s="19">
        <f>IF(I110=0,0,J87/I110)</f>
        <v/>
      </c>
      <c r="K117" s="19">
        <f>IF(J110=0,0,K87/J110)</f>
        <v/>
      </c>
      <c r="L117" s="19">
        <f>IF(K110=0,0,L87/K110)</f>
        <v/>
      </c>
      <c r="M117" s="19">
        <f>IF(L110=0,0,M87/L110)</f>
        <v/>
      </c>
      <c r="N117" s="10" t="inlineStr">
        <is>
          <t>%</t>
        </is>
      </c>
    </row>
    <row r="118">
      <c r="B118" s="7" t="inlineStr">
        <is>
          <t>Distributions / net income (payout ratio)</t>
        </is>
      </c>
      <c r="C118" s="19">
        <f>IF(C87=0,0,C91/C87)</f>
        <v/>
      </c>
      <c r="D118" s="19">
        <f>IF(D87=0,0,D91/D87)</f>
        <v/>
      </c>
      <c r="E118" s="19">
        <f>IF(E87=0,0,E91/E87)</f>
        <v/>
      </c>
      <c r="F118" s="19">
        <f>IF(F87=0,0,F91/F87)</f>
        <v/>
      </c>
      <c r="G118" s="19">
        <f>IF(G87=0,0,G91/G87)</f>
        <v/>
      </c>
      <c r="H118" s="19">
        <f>IF(H87=0,0,H91/H87)</f>
        <v/>
      </c>
      <c r="I118" s="19">
        <f>IF(I87=0,0,I91/I87)</f>
        <v/>
      </c>
      <c r="J118" s="19">
        <f>IF(J87=0,0,J91/J87)</f>
        <v/>
      </c>
      <c r="K118" s="19">
        <f>IF(K87=0,0,K91/K87)</f>
        <v/>
      </c>
      <c r="L118" s="19">
        <f>IF(L87=0,0,L91/L87)</f>
        <v/>
      </c>
      <c r="M118" s="19">
        <f>IF(M87=0,0,M91/M87)</f>
        <v/>
      </c>
      <c r="N118" s="10" t="inlineStr">
        <is>
          <t>%</t>
        </is>
      </c>
    </row>
    <row r="120">
      <c r="A120" s="12" t="inlineStr">
        <is>
          <t>ACTUAL MARKET VALUATION (reasonableness check vs. model baseline value)</t>
        </is>
      </c>
      <c r="B120" s="13" t="n"/>
      <c r="C120" s="13" t="n"/>
      <c r="D120" s="13" t="n"/>
      <c r="E120" s="13" t="n"/>
      <c r="F120" s="13" t="n"/>
      <c r="G120" s="13" t="n"/>
      <c r="H120" s="13" t="n"/>
      <c r="I120" s="13" t="n"/>
      <c r="J120" s="13" t="n"/>
      <c r="K120" s="13" t="n"/>
      <c r="L120" s="13" t="n"/>
      <c r="M120" s="13" t="n"/>
      <c r="N120" s="13" t="n"/>
      <c r="O120" s="13" t="n"/>
    </row>
    <row r="121">
      <c r="B121" s="7" t="inlineStr">
        <is>
          <t>Valuation date</t>
        </is>
      </c>
      <c r="C121" s="34" t="n">
        <v>46304</v>
      </c>
      <c r="N121" s="10" t="inlineStr">
        <is>
          <t>date</t>
        </is>
      </c>
      <c r="O121" s="10" t="inlineStr"/>
    </row>
    <row r="122">
      <c r="B122" s="7" t="inlineStr">
        <is>
          <t>SIG share price (NYSE close)</t>
        </is>
      </c>
      <c r="C122" s="35" t="n">
        <v>105.22</v>
      </c>
      <c r="N122" s="10" t="inlineStr">
        <is>
          <t>$ per share</t>
        </is>
      </c>
      <c r="O122" s="10" t="inlineStr">
        <is>
          <t>Yahoo Finance close, Oct 9, 2026 ($100.58 on Oct 2).</t>
        </is>
      </c>
    </row>
    <row r="123">
      <c r="B123" s="7" t="inlineStr">
        <is>
          <t>Common shares outstanding (estimate)</t>
        </is>
      </c>
      <c r="C123" s="20" t="n">
        <v>37.5</v>
      </c>
      <c r="N123" s="10" t="inlineStr">
        <is>
          <t>millions</t>
        </is>
      </c>
      <c r="O123" s="10" t="inlineStr">
        <is>
          <t>MarketBeat 38.3M / Google Finance 37.3M; Q2 FY27 diluted 39.3M before the $125M ASR.</t>
        </is>
      </c>
    </row>
    <row r="124">
      <c r="B124" s="3" t="inlineStr">
        <is>
          <t>Market capitalization</t>
        </is>
      </c>
      <c r="C124" s="26">
        <f>C122*C123</f>
        <v/>
      </c>
      <c r="N124" s="10" t="inlineStr">
        <is>
          <t>$M</t>
        </is>
      </c>
      <c r="O124" s="10" t="inlineStr"/>
    </row>
    <row r="125">
      <c r="B125" s="7" t="inlineStr">
        <is>
          <t>P/E on FY2027E model net income</t>
        </is>
      </c>
      <c r="C125" s="36">
        <f>IF(D87=0,0,C124/D87)</f>
        <v/>
      </c>
      <c r="N125" s="10" t="inlineStr">
        <is>
          <t>x</t>
        </is>
      </c>
      <c r="O125" s="10" t="inlineStr"/>
    </row>
    <row r="126">
      <c r="B126" s="3" t="inlineStr">
        <is>
          <t>Model baseline value / market cap - 1  ('under-valuation' if positive)</t>
        </is>
      </c>
      <c r="C126" s="37">
        <f>IF(C124=0,0,C98/C124-1)</f>
        <v/>
      </c>
      <c r="N126" s="10" t="inlineStr">
        <is>
          <t>%</t>
        </is>
      </c>
      <c r="O126" s="10" t="inlineStr">
        <is>
          <t>A gap inside +/-30% is treated as plausible for this exercise (Checks tab).</t>
        </is>
      </c>
    </row>
    <row r="127">
      <c r="B127" s="7" t="inlineStr">
        <is>
          <t>Model baseline value per share</t>
        </is>
      </c>
      <c r="C127" s="38">
        <f>IF(C123=0,0,C98/C123)</f>
        <v/>
      </c>
      <c r="N127" s="10" t="inlineStr">
        <is>
          <t>$ per share</t>
        </is>
      </c>
      <c r="O127" s="10" t="inlineStr"/>
    </row>
    <row r="128">
      <c r="B128" s="7" t="inlineStr">
        <is>
          <t>P/E on FY2026A reported net income</t>
        </is>
      </c>
      <c r="C128" s="36">
        <f>IF(C87=0,0,C124/C87)</f>
        <v/>
      </c>
      <c r="N128" s="10" t="inlineStr">
        <is>
          <t>x</t>
        </is>
      </c>
      <c r="O128" s="10" t="inlineStr"/>
    </row>
  </sheetData>
  <pageMargins left="0.75" right="0.75" top="1" bottom="1" header="0.5" footer="0.5"/>
  <pageSetup orientation="landscape" paperSize="1" fitToHeight="0" fitToWidth="1"/>
  <headerFooter>
    <oddHeader/>
    <oddFooter>&amp;C&amp;A - Page &amp;P of &amp;N</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M29"/>
  <sheetViews>
    <sheetView workbookViewId="0">
      <selection activeCell="A1" sqref="A1"/>
    </sheetView>
  </sheetViews>
  <sheetFormatPr baseColWidth="8" defaultRowHeight="15"/>
  <cols>
    <col width="3" customWidth="1" min="1" max="1"/>
    <col width="58"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s>
  <sheetData>
    <row r="1">
      <c r="A1" s="1" t="inlineStr">
        <is>
          <t>Signet Jewelers - Baseline Company Value by Business Segment</t>
        </is>
      </c>
    </row>
    <row r="2">
      <c r="A2" s="10" t="inlineStr">
        <is>
          <t>$ millions. Values are links to the model tabs (green). Charts are native Excel charts linked to the cells below.</t>
        </is>
      </c>
    </row>
    <row r="4" ht="30" customHeight="1">
      <c r="B4" s="39" t="inlineStr">
        <is>
          <t>Business segment</t>
        </is>
      </c>
      <c r="C4" s="39" t="inlineStr">
        <is>
          <t>Baseline value ($M)</t>
        </is>
      </c>
      <c r="D4" s="39" t="inlineStr">
        <is>
          <t>% of total</t>
        </is>
      </c>
      <c r="E4" s="39" t="inlineStr">
        <is>
          <t>Discount rate</t>
        </is>
      </c>
      <c r="F4" s="39" t="inlineStr">
        <is>
          <t>FY2026A sales ($M)</t>
        </is>
      </c>
      <c r="G4" s="39" t="inlineStr">
        <is>
          <t>FY2027E net income ($M)</t>
        </is>
      </c>
    </row>
    <row r="5">
      <c r="B5" s="7" t="inlineStr">
        <is>
          <t>North America</t>
        </is>
      </c>
      <c r="C5" s="30">
        <f>'Model - NA'!C98</f>
        <v/>
      </c>
      <c r="D5" s="19">
        <f>IF($C$8=0,0,C5/$C$8)</f>
        <v/>
      </c>
      <c r="E5" s="40">
        <f>'Model - NA'!C94</f>
        <v/>
      </c>
      <c r="F5" s="30">
        <f>'Model - NA'!C70</f>
        <v/>
      </c>
      <c r="G5" s="30">
        <f>'Model - NA'!D87</f>
        <v/>
      </c>
    </row>
    <row r="6">
      <c r="B6" s="7" t="inlineStr">
        <is>
          <t>International</t>
        </is>
      </c>
      <c r="C6" s="30">
        <f>'Model - INTL'!C98</f>
        <v/>
      </c>
      <c r="D6" s="19">
        <f>IF($C$8=0,0,C6/$C$8)</f>
        <v/>
      </c>
      <c r="E6" s="40">
        <f>'Model - INTL'!C94</f>
        <v/>
      </c>
      <c r="F6" s="30">
        <f>'Model - INTL'!C70</f>
        <v/>
      </c>
      <c r="G6" s="30">
        <f>'Model - INTL'!D87</f>
        <v/>
      </c>
    </row>
    <row r="7">
      <c r="B7" s="7" t="inlineStr">
        <is>
          <t>Other / Corporate</t>
        </is>
      </c>
      <c r="C7" s="30">
        <f>'Model - OTHER'!C98</f>
        <v/>
      </c>
      <c r="D7" s="19">
        <f>IF($C$8=0,0,C7/$C$8)</f>
        <v/>
      </c>
      <c r="E7" s="40">
        <f>'Model - OTHER'!C94</f>
        <v/>
      </c>
      <c r="F7" s="30">
        <f>'Model - OTHER'!C70</f>
        <v/>
      </c>
      <c r="G7" s="30">
        <f>'Model - OTHER'!D87</f>
        <v/>
      </c>
    </row>
    <row r="8">
      <c r="B8" s="41" t="inlineStr">
        <is>
          <t>Total company (sum of segments)</t>
        </is>
      </c>
      <c r="C8" s="42">
        <f>SUM(C5:C7)</f>
        <v/>
      </c>
      <c r="D8" s="43">
        <f>SUM(D5:D7)</f>
        <v/>
      </c>
      <c r="E8" s="44" t="n"/>
      <c r="F8" s="42">
        <f>SUM(F5:F7)</f>
        <v/>
      </c>
      <c r="G8" s="42">
        <f>SUM(G5:G7)</f>
        <v/>
      </c>
    </row>
    <row r="9">
      <c r="B9" s="7" t="inlineStr">
        <is>
          <t>Market capitalization (Oct 9, 2026; $105.22 x 37.5M shares)</t>
        </is>
      </c>
      <c r="C9" s="30">
        <f>'Total Company'!C124</f>
        <v/>
      </c>
    </row>
    <row r="10">
      <c r="B10" s="7" t="inlineStr">
        <is>
          <t>Model value / market cap - 1</t>
        </is>
      </c>
      <c r="C10" s="40">
        <f>'Total Company'!C126</f>
        <v/>
      </c>
    </row>
    <row r="11">
      <c r="B11" s="7" t="inlineStr">
        <is>
          <t>Model value per share ($)</t>
        </is>
      </c>
      <c r="C11" s="45">
        <f>'Total Company'!C127</f>
        <v/>
      </c>
    </row>
    <row r="13">
      <c r="B13" s="3" t="inlineStr">
        <is>
          <t>Projected total company sales and net income by year ($M; links to Total Company tab)</t>
        </is>
      </c>
    </row>
    <row r="14">
      <c r="B14" s="11" t="inlineStr">
        <is>
          <t>Fiscal year</t>
        </is>
      </c>
      <c r="C14" s="15" t="inlineStr">
        <is>
          <t>FY2026A</t>
        </is>
      </c>
      <c r="D14" s="15" t="inlineStr">
        <is>
          <t>FY2027</t>
        </is>
      </c>
      <c r="E14" s="15" t="inlineStr">
        <is>
          <t>FY2028</t>
        </is>
      </c>
      <c r="F14" s="15" t="inlineStr">
        <is>
          <t>FY2029</t>
        </is>
      </c>
      <c r="G14" s="15" t="inlineStr">
        <is>
          <t>FY2030</t>
        </is>
      </c>
      <c r="H14" s="15" t="inlineStr">
        <is>
          <t>FY2031</t>
        </is>
      </c>
      <c r="I14" s="15" t="inlineStr">
        <is>
          <t>FY2032</t>
        </is>
      </c>
      <c r="J14" s="15" t="inlineStr">
        <is>
          <t>FY2033</t>
        </is>
      </c>
      <c r="K14" s="15" t="inlineStr">
        <is>
          <t>FY2034</t>
        </is>
      </c>
      <c r="L14" s="15" t="inlineStr">
        <is>
          <t>FY2035</t>
        </is>
      </c>
      <c r="M14" s="15" t="inlineStr">
        <is>
          <t>FY2036</t>
        </is>
      </c>
    </row>
    <row r="15">
      <c r="B15" s="7" t="inlineStr">
        <is>
          <t>Total sales</t>
        </is>
      </c>
      <c r="C15" s="30">
        <f>'Total Company'!C70</f>
        <v/>
      </c>
      <c r="D15" s="30">
        <f>'Total Company'!D70</f>
        <v/>
      </c>
      <c r="E15" s="30">
        <f>'Total Company'!E70</f>
        <v/>
      </c>
      <c r="F15" s="30">
        <f>'Total Company'!F70</f>
        <v/>
      </c>
      <c r="G15" s="30">
        <f>'Total Company'!G70</f>
        <v/>
      </c>
      <c r="H15" s="30">
        <f>'Total Company'!H70</f>
        <v/>
      </c>
      <c r="I15" s="30">
        <f>'Total Company'!I70</f>
        <v/>
      </c>
      <c r="J15" s="30">
        <f>'Total Company'!J70</f>
        <v/>
      </c>
      <c r="K15" s="30">
        <f>'Total Company'!K70</f>
        <v/>
      </c>
      <c r="L15" s="30">
        <f>'Total Company'!L70</f>
        <v/>
      </c>
      <c r="M15" s="30">
        <f>'Total Company'!M70</f>
        <v/>
      </c>
    </row>
    <row r="16">
      <c r="B16" s="7" t="inlineStr">
        <is>
          <t>Net income</t>
        </is>
      </c>
      <c r="C16" s="30">
        <f>'Total Company'!C87</f>
        <v/>
      </c>
      <c r="D16" s="30">
        <f>'Total Company'!D87</f>
        <v/>
      </c>
      <c r="E16" s="30">
        <f>'Total Company'!E87</f>
        <v/>
      </c>
      <c r="F16" s="30">
        <f>'Total Company'!F87</f>
        <v/>
      </c>
      <c r="G16" s="30">
        <f>'Total Company'!G87</f>
        <v/>
      </c>
      <c r="H16" s="30">
        <f>'Total Company'!H87</f>
        <v/>
      </c>
      <c r="I16" s="30">
        <f>'Total Company'!I87</f>
        <v/>
      </c>
      <c r="J16" s="30">
        <f>'Total Company'!J87</f>
        <v/>
      </c>
      <c r="K16" s="30">
        <f>'Total Company'!K87</f>
        <v/>
      </c>
      <c r="L16" s="30">
        <f>'Total Company'!L87</f>
        <v/>
      </c>
      <c r="M16" s="30">
        <f>'Total Company'!M87</f>
        <v/>
      </c>
    </row>
    <row r="17">
      <c r="B17" s="7" t="inlineStr">
        <is>
          <t>Operating income</t>
        </is>
      </c>
      <c r="C17" s="30">
        <f>'Total Company'!C80</f>
        <v/>
      </c>
      <c r="D17" s="30">
        <f>'Total Company'!D80</f>
        <v/>
      </c>
      <c r="E17" s="30">
        <f>'Total Company'!E80</f>
        <v/>
      </c>
      <c r="F17" s="30">
        <f>'Total Company'!F80</f>
        <v/>
      </c>
      <c r="G17" s="30">
        <f>'Total Company'!G80</f>
        <v/>
      </c>
      <c r="H17" s="30">
        <f>'Total Company'!H80</f>
        <v/>
      </c>
      <c r="I17" s="30">
        <f>'Total Company'!I80</f>
        <v/>
      </c>
      <c r="J17" s="30">
        <f>'Total Company'!J80</f>
        <v/>
      </c>
      <c r="K17" s="30">
        <f>'Total Company'!K80</f>
        <v/>
      </c>
      <c r="L17" s="30">
        <f>'Total Company'!L80</f>
        <v/>
      </c>
      <c r="M17" s="30">
        <f>'Total Company'!M80</f>
        <v/>
      </c>
    </row>
    <row r="21">
      <c r="B21" s="3" t="inlineStr">
        <is>
          <t>Sensitivity of total company baseline value (computed by re-running the model with build/build_model.py; pasted values)</t>
        </is>
      </c>
    </row>
    <row r="22">
      <c r="B22" s="39" t="inlineStr">
        <is>
          <t>Assumption shocked (all years, all segments unless stated)</t>
        </is>
      </c>
      <c r="C22" s="39" t="inlineStr">
        <is>
          <t>Value: -1pp / less ($M)</t>
        </is>
      </c>
      <c r="D22" s="39" t="inlineStr">
        <is>
          <t>Base ($M)</t>
        </is>
      </c>
      <c r="E22" s="39" t="inlineStr">
        <is>
          <t>Value: +1pp / more ($M)</t>
        </is>
      </c>
      <c r="F22" s="39" t="inlineStr">
        <is>
          <t>Change for +1pp ($M)</t>
        </is>
      </c>
      <c r="G22" s="39" t="inlineStr">
        <is>
          <t>Change for +1pp (%)</t>
        </is>
      </c>
    </row>
    <row r="23">
      <c r="B23" s="7" t="inlineStr">
        <is>
          <t>Revenue growth: same-store, e-commerce and other revenue growth +/-1pp</t>
        </is>
      </c>
      <c r="C23" s="20" t="n">
        <v>2985.6</v>
      </c>
      <c r="D23" s="20" t="n">
        <v>3296.5</v>
      </c>
      <c r="E23" s="20" t="n">
        <v>3624.6</v>
      </c>
      <c r="F23" s="21">
        <f>E23-D23</f>
        <v/>
      </c>
      <c r="G23" s="19">
        <f>IF(D23=0,0,E23/D23-1)</f>
        <v/>
      </c>
    </row>
    <row r="24">
      <c r="B24" s="7" t="inlineStr">
        <is>
          <t>Gross margin +/-1pp (cost of sales % -/+1pp)</t>
        </is>
      </c>
      <c r="C24" s="20" t="n">
        <v>2965.5</v>
      </c>
      <c r="D24" s="20" t="n">
        <v>3296.5</v>
      </c>
      <c r="E24" s="20" t="n">
        <v>3627.6</v>
      </c>
      <c r="F24" s="21">
        <f>E24-D24</f>
        <v/>
      </c>
      <c r="G24" s="19">
        <f>IF(D24=0,0,E24/D24-1)</f>
        <v/>
      </c>
    </row>
    <row r="25">
      <c r="B25" s="7" t="inlineStr">
        <is>
          <t>Discount rate (cost of equity) +/-1pp</t>
        </is>
      </c>
      <c r="C25" s="20" t="n">
        <v>3480.7</v>
      </c>
      <c r="D25" s="20" t="n">
        <v>3296.5</v>
      </c>
      <c r="E25" s="20" t="n">
        <v>3126.4</v>
      </c>
      <c r="F25" s="21">
        <f>E25-D25</f>
        <v/>
      </c>
      <c r="G25" s="19">
        <f>IF(D25=0,0,E25/D25-1)</f>
        <v/>
      </c>
    </row>
    <row r="26">
      <c r="B26" s="7" t="inlineStr">
        <is>
          <t>Variable SG&amp;A % of sales +/-1pp</t>
        </is>
      </c>
      <c r="C26" s="20" t="n">
        <v>3627.6</v>
      </c>
      <c r="D26" s="20" t="n">
        <v>3296.5</v>
      </c>
      <c r="E26" s="20" t="n">
        <v>2965.5</v>
      </c>
      <c r="F26" s="21">
        <f>E26-D26</f>
        <v/>
      </c>
      <c r="G26" s="19">
        <f>IF(D26=0,0,E26/D26-1)</f>
        <v/>
      </c>
    </row>
    <row r="27">
      <c r="B27" s="7" t="inlineStr">
        <is>
          <t>Fixed SG&amp;A inflation +/-1pp</t>
        </is>
      </c>
      <c r="C27" s="20" t="n">
        <v>3491.8</v>
      </c>
      <c r="D27" s="20" t="n">
        <v>3296.5</v>
      </c>
      <c r="E27" s="20" t="n">
        <v>3090.5</v>
      </c>
      <c r="F27" s="21">
        <f>E27-D27</f>
        <v/>
      </c>
      <c r="G27" s="19">
        <f>IF(D27=0,0,E27/D27-1)</f>
        <v/>
      </c>
    </row>
    <row r="28">
      <c r="B28" s="7" t="inlineStr">
        <is>
          <t>Effective tax rate +/-1pp</t>
        </is>
      </c>
      <c r="C28" s="20" t="n">
        <v>3330.5</v>
      </c>
      <c r="D28" s="20" t="n">
        <v>3296.5</v>
      </c>
      <c r="E28" s="20" t="n">
        <v>3262.6</v>
      </c>
      <c r="F28" s="21">
        <f>E28-D28</f>
        <v/>
      </c>
      <c r="G28" s="19">
        <f>IF(D28=0,0,E28/D28-1)</f>
        <v/>
      </c>
    </row>
    <row r="29">
      <c r="B29" s="7" t="inlineStr">
        <is>
          <t>NA store closures +/-10 per year</t>
        </is>
      </c>
      <c r="C29" s="20" t="n">
        <v>3387.6</v>
      </c>
      <c r="D29" s="20" t="n">
        <v>3296.5</v>
      </c>
      <c r="E29" s="20" t="n">
        <v>3205.5</v>
      </c>
      <c r="F29" s="21">
        <f>E29-D29</f>
        <v/>
      </c>
      <c r="G29" s="19">
        <f>IF(D29=0,0,E29/D29-1)</f>
        <v/>
      </c>
    </row>
  </sheetData>
  <pageMargins left="0.75" right="0.75" top="1" bottom="1" header="0.5" footer="0.5"/>
  <pageSetup orientation="landscape" fitToHeight="0" fitToWidth="1"/>
  <drawing xmlns:r="http://schemas.openxmlformats.org/officeDocument/2006/relationships" r:id="rId1"/>
</worksheet>
</file>

<file path=xl/worksheets/sheet8.xml><?xml version="1.0" encoding="utf-8"?>
<worksheet xmlns="http://schemas.openxmlformats.org/spreadsheetml/2006/main">
  <sheetPr>
    <outlinePr summaryBelow="1" summaryRight="1"/>
    <pageSetUpPr fitToPage="1"/>
  </sheetPr>
  <dimension ref="A1:E39"/>
  <sheetViews>
    <sheetView workbookViewId="0">
      <pane ySplit="4" topLeftCell="A5" activePane="bottomLeft" state="frozen"/>
      <selection pane="bottomLeft" activeCell="A1" sqref="A1"/>
    </sheetView>
  </sheetViews>
  <sheetFormatPr baseColWidth="8" defaultRowHeight="15"/>
  <cols>
    <col width="5" customWidth="1" min="1" max="1"/>
    <col width="100" customWidth="1" min="2" max="2"/>
    <col width="12" customWidth="1" min="3" max="3"/>
    <col width="18" customWidth="1" min="4" max="4"/>
    <col width="22" customWidth="1" min="5" max="5"/>
  </cols>
  <sheetData>
    <row r="1">
      <c r="A1" s="1" t="inlineStr">
        <is>
          <t>Model integrity checks (formula-driven; every row must be TRUE)</t>
        </is>
      </c>
    </row>
    <row r="2">
      <c r="A2" s="10" t="inlineStr">
        <is>
          <t>Tolerances: $0.05M for ties to reported figures, $0.001M for internal identities.</t>
        </is>
      </c>
    </row>
    <row r="4">
      <c r="A4" s="11" t="inlineStr">
        <is>
          <t>#</t>
        </is>
      </c>
      <c r="B4" s="11" t="inlineStr">
        <is>
          <t>Check</t>
        </is>
      </c>
      <c r="C4" s="11" t="inlineStr">
        <is>
          <t>Result</t>
        </is>
      </c>
      <c r="D4" s="11" t="inlineStr">
        <is>
          <t>Measured value</t>
        </is>
      </c>
      <c r="E4" s="11" t="inlineStr">
        <is>
          <t>Tolerance / target</t>
        </is>
      </c>
    </row>
    <row r="5">
      <c r="A5" s="7" t="n">
        <v>1</v>
      </c>
      <c r="B5" s="7" t="inlineStr">
        <is>
          <t>Total Company sales = NA + INTL + OTHER in every year (FY2026A-FY2036)</t>
        </is>
      </c>
      <c r="C5" s="46">
        <f>SUMPRODUCT(ABS('Total Company'!C70:M70-'Model - NA'!C70:M70-'Model - INTL'!C70:M70-'Model - OTHER'!C70:M70))&lt;0.001</f>
        <v/>
      </c>
      <c r="D5" s="25">
        <f>SUMPRODUCT(ABS('Total Company'!C70:M70-'Model - NA'!C70:M70-'Model - INTL'!C70:M70-'Model - OTHER'!C70:M70))</f>
        <v/>
      </c>
      <c r="E5" s="10" t="inlineStr">
        <is>
          <t>&lt; 0.001</t>
        </is>
      </c>
    </row>
    <row r="6">
      <c r="A6" s="7" t="n">
        <v>2</v>
      </c>
      <c r="B6" s="7" t="inlineStr">
        <is>
          <t>Total Company operating income = NA + INTL + OTHER in every year (FY2026A-FY2036)</t>
        </is>
      </c>
      <c r="C6" s="46">
        <f>SUMPRODUCT(ABS('Total Company'!C80:M80-'Model - NA'!C80:M80-'Model - INTL'!C80:M80-'Model - OTHER'!C80:M80))&lt;0.001</f>
        <v/>
      </c>
      <c r="D6" s="25">
        <f>SUMPRODUCT(ABS('Total Company'!C80:M80-'Model - NA'!C80:M80-'Model - INTL'!C80:M80-'Model - OTHER'!C80:M80))</f>
        <v/>
      </c>
      <c r="E6" s="10" t="inlineStr">
        <is>
          <t>&lt; 0.001</t>
        </is>
      </c>
    </row>
    <row r="7">
      <c r="A7" s="7" t="n">
        <v>3</v>
      </c>
      <c r="B7" s="7" t="inlineStr">
        <is>
          <t>Total Company net income = NA + INTL + OTHER in every year (FY2026A-FY2036)</t>
        </is>
      </c>
      <c r="C7" s="46">
        <f>SUMPRODUCT(ABS('Total Company'!C87:M87-'Model - NA'!C87:M87-'Model - INTL'!C87:M87-'Model - OTHER'!C87:M87))&lt;0.001</f>
        <v/>
      </c>
      <c r="D7" s="25">
        <f>SUMPRODUCT(ABS('Total Company'!C87:M87-'Model - NA'!C87:M87-'Model - INTL'!C87:M87-'Model - OTHER'!C87:M87))</f>
        <v/>
      </c>
      <c r="E7" s="10" t="inlineStr">
        <is>
          <t>&lt; 0.001</t>
        </is>
      </c>
    </row>
    <row r="8">
      <c r="A8" s="7" t="n">
        <v>4</v>
      </c>
      <c r="B8" s="7" t="inlineStr">
        <is>
          <t>Total Company shareholders' equity = NA + INTL + OTHER in every year (FY2026A-FY2036)</t>
        </is>
      </c>
      <c r="C8" s="46">
        <f>SUMPRODUCT(ABS('Total Company'!C110:M110-'Model - NA'!C110:M110-'Model - INTL'!C110:M110-'Model - OTHER'!C110:M110))&lt;0.001</f>
        <v/>
      </c>
      <c r="D8" s="25">
        <f>SUMPRODUCT(ABS('Total Company'!C110:M110-'Model - NA'!C110:M110-'Model - INTL'!C110:M110-'Model - OTHER'!C110:M110))</f>
        <v/>
      </c>
      <c r="E8" s="10" t="inlineStr">
        <is>
          <t>&lt; 0.001</t>
        </is>
      </c>
    </row>
    <row r="9">
      <c r="A9" s="7" t="n">
        <v>5</v>
      </c>
      <c r="B9" s="7" t="inlineStr">
        <is>
          <t>Total Company cash = NA + INTL + OTHER in every year (FY2026A-FY2036)</t>
        </is>
      </c>
      <c r="C9" s="46">
        <f>SUMPRODUCT(ABS('Total Company'!C104:M104-'Model - NA'!C104:M104-'Model - INTL'!C104:M104-'Model - OTHER'!C104:M104))&lt;0.001</f>
        <v/>
      </c>
      <c r="D9" s="25">
        <f>SUMPRODUCT(ABS('Total Company'!C104:M104-'Model - NA'!C104:M104-'Model - INTL'!C104:M104-'Model - OTHER'!C104:M104))</f>
        <v/>
      </c>
      <c r="E9" s="10" t="inlineStr">
        <is>
          <t>&lt; 0.001</t>
        </is>
      </c>
    </row>
    <row r="10">
      <c r="A10" s="7" t="n">
        <v>6</v>
      </c>
      <c r="B10" s="7" t="inlineStr">
        <is>
          <t>FY2026A consolidated sales reproduces reported 6,813.6</t>
        </is>
      </c>
      <c r="C10" s="46">
        <f>ABS('Total Company'!C70-6813.6)&lt;0.05</f>
        <v/>
      </c>
      <c r="D10" s="25">
        <f>'Total Company'!C70</f>
        <v/>
      </c>
      <c r="E10" s="10" t="inlineStr">
        <is>
          <t>6,813.6 +/- 0.05</t>
        </is>
      </c>
    </row>
    <row r="11">
      <c r="A11" s="7" t="n">
        <v>7</v>
      </c>
      <c r="B11" s="7" t="inlineStr">
        <is>
          <t>FY2026A consolidated operating income reproduces reported 393.1</t>
        </is>
      </c>
      <c r="C11" s="46">
        <f>ABS('Total Company'!C80-393.1)&lt;0.05</f>
        <v/>
      </c>
      <c r="D11" s="25">
        <f>'Total Company'!C80</f>
        <v/>
      </c>
      <c r="E11" s="10" t="inlineStr">
        <is>
          <t>393.1 +/- 0.05</t>
        </is>
      </c>
    </row>
    <row r="12">
      <c r="A12" s="7" t="n">
        <v>8</v>
      </c>
      <c r="B12" s="7" t="inlineStr">
        <is>
          <t>FY2026A consolidated net income reproduces reported 294.4</t>
        </is>
      </c>
      <c r="C12" s="46">
        <f>ABS('Total Company'!C87-294.4)&lt;0.05</f>
        <v/>
      </c>
      <c r="D12" s="25">
        <f>'Total Company'!C87</f>
        <v/>
      </c>
      <c r="E12" s="10" t="inlineStr">
        <is>
          <t>294.4 +/- 0.05</t>
        </is>
      </c>
    </row>
    <row r="13">
      <c r="A13" s="7" t="n">
        <v>9</v>
      </c>
      <c r="B13" s="7" t="inlineStr">
        <is>
          <t>FY2026A shareholders' equity reproduces reported 1,966.2</t>
        </is>
      </c>
      <c r="C13" s="46">
        <f>ABS('Total Company'!C110-1966.2)&lt;0.05</f>
        <v/>
      </c>
      <c r="D13" s="25">
        <f>'Total Company'!C110</f>
        <v/>
      </c>
      <c r="E13" s="10" t="inlineStr">
        <is>
          <t>1,966.2 +/- 0.05</t>
        </is>
      </c>
    </row>
    <row r="14">
      <c r="A14" s="7" t="n">
        <v>10</v>
      </c>
      <c r="B14" s="7" t="inlineStr">
        <is>
          <t>FY2026A North America sales = reported 6,363.6</t>
        </is>
      </c>
      <c r="C14" s="46">
        <f>ABS('Model - NA'!C70-6363.6)&lt;0.05</f>
        <v/>
      </c>
      <c r="D14" s="25">
        <f>'Model - NA'!C70</f>
        <v/>
      </c>
      <c r="E14" s="10" t="inlineStr">
        <is>
          <t>6,363.6</t>
        </is>
      </c>
    </row>
    <row r="15">
      <c r="A15" s="7" t="n">
        <v>11</v>
      </c>
      <c r="B15" s="7" t="inlineStr">
        <is>
          <t>FY2026A North America operating income = reported 452.6</t>
        </is>
      </c>
      <c r="C15" s="46">
        <f>ABS('Model - NA'!C80-452.6)&lt;0.05</f>
        <v/>
      </c>
      <c r="D15" s="25">
        <f>'Model - NA'!C80</f>
        <v/>
      </c>
      <c r="E15" s="10" t="inlineStr">
        <is>
          <t>452.6</t>
        </is>
      </c>
    </row>
    <row r="16">
      <c r="A16" s="7" t="n">
        <v>12</v>
      </c>
      <c r="B16" s="7" t="inlineStr">
        <is>
          <t>FY2026A International sales = reported 410.4</t>
        </is>
      </c>
      <c r="C16" s="46">
        <f>ABS('Model - INTL'!C70-410.4)&lt;0.05</f>
        <v/>
      </c>
      <c r="D16" s="25">
        <f>'Model - INTL'!C70</f>
        <v/>
      </c>
      <c r="E16" s="10" t="inlineStr">
        <is>
          <t>410.4</t>
        </is>
      </c>
    </row>
    <row r="17">
      <c r="A17" s="7" t="n">
        <v>13</v>
      </c>
      <c r="B17" s="7" t="inlineStr">
        <is>
          <t>FY2026A International operating income = reported 16.3</t>
        </is>
      </c>
      <c r="C17" s="46">
        <f>ABS('Model - INTL'!C80-16.3)&lt;0.05</f>
        <v/>
      </c>
      <c r="D17" s="25">
        <f>'Model - INTL'!C80</f>
        <v/>
      </c>
      <c r="E17" s="10" t="inlineStr">
        <is>
          <t>16.3</t>
        </is>
      </c>
    </row>
    <row r="18">
      <c r="A18" s="7" t="n">
        <v>14</v>
      </c>
      <c r="B18" s="7" t="inlineStr">
        <is>
          <t>FY2026A Other / Corporate sales = reported 39.6</t>
        </is>
      </c>
      <c r="C18" s="46">
        <f>ABS('Model - OTHER'!C70-39.6)&lt;0.05</f>
        <v/>
      </c>
      <c r="D18" s="25">
        <f>'Model - OTHER'!C70</f>
        <v/>
      </c>
      <c r="E18" s="10" t="inlineStr">
        <is>
          <t>39.6</t>
        </is>
      </c>
    </row>
    <row r="19">
      <c r="A19" s="7" t="n">
        <v>15</v>
      </c>
      <c r="B19" s="7" t="inlineStr">
        <is>
          <t>FY2026A Other / Corporate operating income = reported -75.8</t>
        </is>
      </c>
      <c r="C19" s="46">
        <f>ABS('Model - OTHER'!C80--75.8)&lt;0.05</f>
        <v/>
      </c>
      <c r="D19" s="25">
        <f>'Model - OTHER'!C80</f>
        <v/>
      </c>
      <c r="E19" s="10" t="inlineStr">
        <is>
          <t>-75.8</t>
        </is>
      </c>
    </row>
    <row r="20">
      <c r="A20" s="7" t="n">
        <v>16</v>
      </c>
      <c r="B20" s="7" t="inlineStr">
        <is>
          <t>Balance sheet balances (assets = liabilities + equity) every year in every tab</t>
        </is>
      </c>
      <c r="C20" s="46">
        <f>SUMPRODUCT(ABS('Model - NA'!C112:M112))+SUMPRODUCT(ABS('Model - INTL'!C112:M112))+SUMPRODUCT(ABS('Model - OTHER'!C112:M112))+SUMPRODUCT(ABS('Total Company'!C112:M112))&lt;0.001</f>
        <v/>
      </c>
      <c r="D20" s="25">
        <f>SUMPRODUCT(ABS('Model - NA'!C112:M112))+SUMPRODUCT(ABS('Model - INTL'!C112:M112))+SUMPRODUCT(ABS('Model - OTHER'!C112:M112))+SUMPRODUCT(ABS('Total Company'!C112:M112))</f>
        <v/>
      </c>
      <c r="E20" s="10" t="inlineStr">
        <is>
          <t>&lt; 0.001</t>
        </is>
      </c>
    </row>
    <row r="21">
      <c r="A21" s="7" t="n">
        <v>17</v>
      </c>
      <c r="B21" s="7" t="inlineStr">
        <is>
          <t>Equity roll-forward Equity(t) = Equity(t-1) + NI(t) - Distributions(t) holds every year in every tab</t>
        </is>
      </c>
      <c r="C21" s="46">
        <f>SUMPRODUCT(ABS('Model - NA'!D111:M111))+SUMPRODUCT(ABS('Model - INTL'!D111:M111))+SUMPRODUCT(ABS('Model - OTHER'!D111:M111))+SUMPRODUCT(ABS('Total Company'!D111:M111))&lt;0.001</f>
        <v/>
      </c>
      <c r="D21" s="25">
        <f>SUMPRODUCT(ABS('Model - NA'!D111:M111))+SUMPRODUCT(ABS('Model - INTL'!D111:M111))+SUMPRODUCT(ABS('Model - OTHER'!D111:M111))+SUMPRODUCT(ABS('Total Company'!D111:M111))</f>
        <v/>
      </c>
      <c r="E21" s="10" t="inlineStr">
        <is>
          <t>&lt; 0.001</t>
        </is>
      </c>
    </row>
    <row r="22">
      <c r="A22" s="7" t="n">
        <v>18</v>
      </c>
      <c r="B22" s="7" t="inlineStr">
        <is>
          <t>North America: scenario assumptions = baseline + shock for every cell</t>
        </is>
      </c>
      <c r="C22" s="46">
        <f>SUMPRODUCT(ABS('Model - NA'!D40:M54-'Model - NA'!D6:M20-'Model - NA'!D23:M37))&lt;0.0000001</f>
        <v/>
      </c>
      <c r="D22" s="25">
        <f>SUMPRODUCT(ABS('Model - NA'!D40:M54-'Model - NA'!D6:M20-'Model - NA'!D23:M37))</f>
        <v/>
      </c>
      <c r="E22" s="10" t="inlineStr">
        <is>
          <t>&lt; 1e-7</t>
        </is>
      </c>
    </row>
    <row r="23">
      <c r="A23" s="7" t="n">
        <v>19</v>
      </c>
      <c r="B23" s="7" t="inlineStr">
        <is>
          <t>North America: all shock cells are zero (baseline run)</t>
        </is>
      </c>
      <c r="C23" s="46">
        <f>SUMPRODUCT(ABS('Model - NA'!D23:M37))=0</f>
        <v/>
      </c>
      <c r="D23" s="25">
        <f>SUMPRODUCT(ABS('Model - NA'!D23:M37))</f>
        <v/>
      </c>
      <c r="E23" s="10" t="inlineStr">
        <is>
          <t>0</t>
        </is>
      </c>
    </row>
    <row r="24">
      <c r="A24" s="7" t="n">
        <v>20</v>
      </c>
      <c r="B24" s="7" t="inlineStr">
        <is>
          <t>International: scenario assumptions = baseline + shock for every cell</t>
        </is>
      </c>
      <c r="C24" s="46">
        <f>SUMPRODUCT(ABS('Model - INTL'!D40:M54-'Model - INTL'!D6:M20-'Model - INTL'!D23:M37))&lt;0.0000001</f>
        <v/>
      </c>
      <c r="D24" s="25">
        <f>SUMPRODUCT(ABS('Model - INTL'!D40:M54-'Model - INTL'!D6:M20-'Model - INTL'!D23:M37))</f>
        <v/>
      </c>
      <c r="E24" s="10" t="inlineStr">
        <is>
          <t>&lt; 1e-7</t>
        </is>
      </c>
    </row>
    <row r="25">
      <c r="A25" s="7" t="n">
        <v>21</v>
      </c>
      <c r="B25" s="7" t="inlineStr">
        <is>
          <t>International: all shock cells are zero (baseline run)</t>
        </is>
      </c>
      <c r="C25" s="46">
        <f>SUMPRODUCT(ABS('Model - INTL'!D23:M37))=0</f>
        <v/>
      </c>
      <c r="D25" s="25">
        <f>SUMPRODUCT(ABS('Model - INTL'!D23:M37))</f>
        <v/>
      </c>
      <c r="E25" s="10" t="inlineStr">
        <is>
          <t>0</t>
        </is>
      </c>
    </row>
    <row r="26">
      <c r="A26" s="7" t="n">
        <v>22</v>
      </c>
      <c r="B26" s="7" t="inlineStr">
        <is>
          <t>Other / Corporate: scenario assumptions = baseline + shock for every cell</t>
        </is>
      </c>
      <c r="C26" s="46">
        <f>SUMPRODUCT(ABS('Model - OTHER'!D40:M54-'Model - OTHER'!D6:M20-'Model - OTHER'!D23:M37))&lt;0.0000001</f>
        <v/>
      </c>
      <c r="D26" s="25">
        <f>SUMPRODUCT(ABS('Model - OTHER'!D40:M54-'Model - OTHER'!D6:M20-'Model - OTHER'!D23:M37))</f>
        <v/>
      </c>
      <c r="E26" s="10" t="inlineStr">
        <is>
          <t>&lt; 1e-7</t>
        </is>
      </c>
    </row>
    <row r="27">
      <c r="A27" s="7" t="n">
        <v>23</v>
      </c>
      <c r="B27" s="7" t="inlineStr">
        <is>
          <t>Other / Corporate: all shock cells are zero (baseline run)</t>
        </is>
      </c>
      <c r="C27" s="46">
        <f>SUMPRODUCT(ABS('Model - OTHER'!D23:M37))=0</f>
        <v/>
      </c>
      <c r="D27" s="25">
        <f>SUMPRODUCT(ABS('Model - OTHER'!D23:M37))</f>
        <v/>
      </c>
      <c r="E27" s="10" t="inlineStr">
        <is>
          <t>0</t>
        </is>
      </c>
    </row>
    <row r="28">
      <c r="A28" s="7" t="n">
        <v>24</v>
      </c>
      <c r="B28" s="7" t="inlineStr">
        <is>
          <t>North America: baseline snapshot value = live scenario-run value</t>
        </is>
      </c>
      <c r="C28" s="46">
        <f>ABS('Model - NA'!C98-'Model - NA'!C99)&lt;0.05</f>
        <v/>
      </c>
      <c r="D28" s="25">
        <f>ABS('Model - NA'!C98-'Model - NA'!C99)</f>
        <v/>
      </c>
      <c r="E28" s="10" t="inlineStr">
        <is>
          <t>&lt; 0.05</t>
        </is>
      </c>
    </row>
    <row r="29">
      <c r="A29" s="7" t="n">
        <v>25</v>
      </c>
      <c r="B29" s="7" t="inlineStr">
        <is>
          <t>International: baseline snapshot value = live scenario-run value</t>
        </is>
      </c>
      <c r="C29" s="46">
        <f>ABS('Model - INTL'!C98-'Model - INTL'!C99)&lt;0.05</f>
        <v/>
      </c>
      <c r="D29" s="25">
        <f>ABS('Model - INTL'!C98-'Model - INTL'!C99)</f>
        <v/>
      </c>
      <c r="E29" s="10" t="inlineStr">
        <is>
          <t>&lt; 0.05</t>
        </is>
      </c>
    </row>
    <row r="30">
      <c r="A30" s="7" t="n">
        <v>26</v>
      </c>
      <c r="B30" s="7" t="inlineStr">
        <is>
          <t>Other / Corporate: baseline snapshot value = live scenario-run value</t>
        </is>
      </c>
      <c r="C30" s="46">
        <f>ABS('Model - OTHER'!C98-'Model - OTHER'!C99)&lt;0.05</f>
        <v/>
      </c>
      <c r="D30" s="25">
        <f>ABS('Model - OTHER'!C98-'Model - OTHER'!C99)</f>
        <v/>
      </c>
      <c r="E30" s="10" t="inlineStr">
        <is>
          <t>&lt; 0.05</t>
        </is>
      </c>
    </row>
    <row r="31">
      <c r="A31" s="7" t="n">
        <v>27</v>
      </c>
      <c r="B31" s="7" t="inlineStr">
        <is>
          <t>Company baseline value = sum of the three segment values</t>
        </is>
      </c>
      <c r="C31" s="46">
        <f>ABS('Total Company'!C98-('Model - NA'!C98+'Model - INTL'!C98+'Model - OTHER'!C98))&lt;0.001</f>
        <v/>
      </c>
      <c r="D31" s="25">
        <f>ABS('Total Company'!C98-('Model - NA'!C98+'Model - INTL'!C98+'Model - OTHER'!C98))</f>
        <v/>
      </c>
      <c r="E31" s="10" t="inlineStr">
        <is>
          <t>&lt; 0.001</t>
        </is>
      </c>
    </row>
    <row r="32">
      <c r="A32" s="7" t="n">
        <v>28</v>
      </c>
      <c r="B32" s="7" t="inlineStr">
        <is>
          <t>No #REF!, #DIV/0!, #VALUE!, #N/A or #NAME? anywhere in the model, summary and assumptions tabs (Cover excluded to avoid a circular reference with its status cell)</t>
        </is>
      </c>
      <c r="C32" s="46">
        <f>SUMPRODUCT(ISERROR('Model - NA'!A1:O133)*1)+SUMPRODUCT(ISERROR('Model - INTL'!A1:O133)*1)+SUMPRODUCT(ISERROR('Model - OTHER'!A1:O133)*1)+SUMPRODUCT(ISERROR('Total Company'!A1:O133)*1)+SUMPRODUCT(ISERROR('Summary &amp; Chart'!A1:O133)*1)+SUMPRODUCT(ISERROR('Assumptions &amp; Sources'!A1:O133)*1)=0</f>
        <v/>
      </c>
      <c r="D32" s="25">
        <f>SUMPRODUCT(ISERROR('Model - NA'!A1:O133)*1)+SUMPRODUCT(ISERROR('Model - INTL'!A1:O133)*1)+SUMPRODUCT(ISERROR('Model - OTHER'!A1:O133)*1)+SUMPRODUCT(ISERROR('Total Company'!A1:O133)*1)+SUMPRODUCT(ISERROR('Summary &amp; Chart'!A1:O133)*1)+SUMPRODUCT(ISERROR('Assumptions &amp; Sources'!A1:O133)*1)</f>
        <v/>
      </c>
      <c r="E32" s="10" t="inlineStr">
        <is>
          <t>0 error cells</t>
        </is>
      </c>
    </row>
    <row r="33">
      <c r="A33" s="7" t="n">
        <v>29</v>
      </c>
      <c r="B33" s="7" t="inlineStr">
        <is>
          <t>FY2027E total sales inside management guidance $6,700-6,900M</t>
        </is>
      </c>
      <c r="C33" s="46">
        <f>AND('Total Company'!D70&gt;=6700.0,'Total Company'!D70&lt;=6900.0)</f>
        <v/>
      </c>
      <c r="D33" s="25">
        <f>'Total Company'!D70</f>
        <v/>
      </c>
      <c r="E33" s="10" t="inlineStr">
        <is>
          <t>6,700 - 6,900</t>
        </is>
      </c>
    </row>
    <row r="34">
      <c r="A34" s="7" t="n">
        <v>30</v>
      </c>
      <c r="B34" s="7" t="inlineStr">
        <is>
          <t>FY2027E operating income inside adjusted operating income guidance $535-605M</t>
        </is>
      </c>
      <c r="C34" s="46">
        <f>AND('Total Company'!D80&gt;=535.0,'Total Company'!D80&lt;=605.0)</f>
        <v/>
      </c>
      <c r="D34" s="25">
        <f>'Total Company'!D80</f>
        <v/>
      </c>
      <c r="E34" s="10" t="inlineStr">
        <is>
          <t>535 - 605</t>
        </is>
      </c>
    </row>
    <row r="35">
      <c r="A35" s="7" t="n">
        <v>31</v>
      </c>
      <c r="B35" s="7" t="inlineStr">
        <is>
          <t>FY2027E diluted EPS inside adjusted EPS guidance $10.45-12.15</t>
        </is>
      </c>
      <c r="C35" s="46">
        <f>AND('Total Company'!D116&gt;=10.45,'Total Company'!D116&lt;=12.15)</f>
        <v/>
      </c>
      <c r="D35" s="25">
        <f>'Total Company'!D116</f>
        <v/>
      </c>
      <c r="E35" s="10" t="inlineStr">
        <is>
          <t>10.45 - 12.15</t>
        </is>
      </c>
    </row>
    <row r="36">
      <c r="A36" s="7" t="n">
        <v>32</v>
      </c>
      <c r="B36" s="7" t="inlineStr">
        <is>
          <t>Model company value within +/-30% of market capitalization</t>
        </is>
      </c>
      <c r="C36" s="46">
        <f>ABS('Total Company'!C126)&lt;=0.3</f>
        <v/>
      </c>
      <c r="D36" s="25">
        <f>'Total Company'!C126</f>
        <v/>
      </c>
      <c r="E36" s="10" t="inlineStr">
        <is>
          <t>|gap| &lt;= 30%</t>
        </is>
      </c>
    </row>
    <row r="38">
      <c r="B38" s="3" t="inlineStr">
        <is>
          <t>ALL CHECKS PASS?</t>
        </is>
      </c>
      <c r="C38" s="47">
        <f>AND(C5:C36)</f>
        <v/>
      </c>
    </row>
    <row r="39">
      <c r="B39" s="10" t="inlineStr">
        <is>
          <t>Structural check performed by build/build_model.py (not a formula): no projection formula references the baseline block directly.</t>
        </is>
      </c>
    </row>
  </sheetData>
  <conditionalFormatting sqref="C5:C36">
    <cfRule type="cellIs" priority="1" operator="equal" dxfId="0">
      <formula>TRUE</formula>
    </cfRule>
    <cfRule type="cellIs" priority="2" operator="equal" dxfId="1">
      <formula>FALSE</formula>
    </cfRule>
  </conditionalFormatting>
  <conditionalFormatting sqref="C38">
    <cfRule type="cellIs" priority="3" operator="equal" dxfId="0">
      <formula>TRUE</formula>
    </cfRule>
    <cfRule type="cellIs" priority="4" operator="equal" dxfId="1">
      <formula>FALSE</formula>
    </cfRule>
  </conditionalFormatting>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2026-10-13T23:06:16Z</dcterms:created>
  <dcterms:modified xmlns:dcterms="http://purl.org/dc/terms/" xmlns:xsi="http://www.w3.org/2001/XMLSchema-instance" xsi:type="dcterms:W3CDTF">2026-10-13T23:06:16Z</dcterms:modified>
</cp:coreProperties>
</file>