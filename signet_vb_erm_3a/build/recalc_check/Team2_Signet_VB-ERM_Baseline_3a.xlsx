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3"/>
    <sheet name="Assumptions &amp; Sources" sheetId="2" state="visible" r:id="rId4"/>
    <sheet name="Model - NA" sheetId="3" state="visible" r:id="rId5"/>
    <sheet name="Model - INTL" sheetId="4" state="visible" r:id="rId6"/>
    <sheet name="Model - OTHER" sheetId="5" state="visible" r:id="rId7"/>
    <sheet name="Total Company" sheetId="6" state="visible" r:id="rId8"/>
    <sheet name="Summary &amp; Chart" sheetId="7" state="visible" r:id="rId9"/>
    <sheet name="Checks" sheetId="8" state="visible" r:id="rId10"/>
  </sheets>
  <definedNames>
    <definedName function="false" hidden="false" localSheetId="1" name="_xlnm.Print_Area" vbProcedure="false">'Assumptions &amp; Sources'!$A$1:$G$87</definedName>
    <definedName function="false" hidden="false" localSheetId="7" name="_xlnm.Print_Area" vbProcedure="false">Checks!$A$1:$E$39</definedName>
    <definedName function="false" hidden="false" localSheetId="0" name="_xlnm.Print_Area" vbProcedure="false">Cover!$A$1:$C$30</definedName>
    <definedName function="false" hidden="false" localSheetId="3" name="_xlnm.Print_Area" vbProcedure="false">'Model - INTL'!$A$1:$O$112</definedName>
    <definedName function="false" hidden="false" localSheetId="3" name="_xlnm.Print_Titles" vbProcedure="false">'Model - INTL'!$3:$3</definedName>
    <definedName function="false" hidden="false" localSheetId="2" name="_xlnm.Print_Area" vbProcedure="false">'Model - NA'!$A$1:$O$112</definedName>
    <definedName function="false" hidden="false" localSheetId="2" name="_xlnm.Print_Titles" vbProcedure="false">'Model - NA'!$3:$3</definedName>
    <definedName function="false" hidden="false" localSheetId="4" name="_xlnm.Print_Area" vbProcedure="false">'Model - OTHER'!$A$1:$O$112</definedName>
    <definedName function="false" hidden="false" localSheetId="4" name="_xlnm.Print_Titles" vbProcedure="false">'Model - OTHER'!$3:$3</definedName>
    <definedName function="false" hidden="false" localSheetId="6" name="_xlnm.Print_Area" vbProcedure="false">'Summary &amp; Chart'!$A$1:$T$40</definedName>
    <definedName function="false" hidden="false" localSheetId="5" name="_xlnm.Print_Area" vbProcedure="false">'Total Company'!$A$1:$O$128</definedName>
    <definedName function="false" hidden="false" localSheetId="5" name="_xlnm.Print_Titles" vbProcedure="false">'Total Company'!$3:$3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<sst xmlns="http://schemas.openxmlformats.org/spreadsheetml/2006/main" count="1632" uniqueCount="540">
  <si>
    <t xml:space="preserve">Signet Jewelers Limited (NYSE: SIG)</t>
  </si>
  <si>
    <t xml:space="preserve">Baseline Value-Based ERM Model - Case Assignment #3(a)</t>
  </si>
  <si>
    <t xml:space="preserve">Course</t>
  </si>
  <si>
    <t xml:space="preserve">Columbia University ERMC PS5900 Capstone, Fall 2026 - Case Assignment #3(a): Baseline value-based ERM model</t>
  </si>
  <si>
    <t xml:space="preserve">Team</t>
  </si>
  <si>
    <t xml:space="preserve">Case Team #2: Meher Jain, Zainab Razzaque, Stanley Weng, Jana Chamsi Bacha, Anderson Chan</t>
  </si>
  <si>
    <t xml:space="preserve">Deliverable date</t>
  </si>
  <si>
    <t xml:space="preserve">October 13, 2026  (due Monday, October 19, 2026, 11pm ET (day before Session 7))</t>
  </si>
  <si>
    <t xml:space="preserve">Model units</t>
  </si>
  <si>
    <t xml:space="preserve">$ millions to one decimal; rates to 0.1%; store counts in units; fiscal years end about January 31 (FY2026A = actual year ended January 31, 2026; FY2027-FY2036 = ten projected years).</t>
  </si>
  <si>
    <t xml:space="preserve">Valuation approach</t>
  </si>
  <si>
    <t xml:space="preserve">Profits released: each segment distributes 100% of net income to shareholders every year, so the simplified balance sheet is static, and segment value = NPV at the segment cost of equity of FY2027-FY2036 distributable cash flows plus the present value of terminal equity (= FY2036 shareholders' equity). Company value is the sum of the three segment values; the choice is justified because Signet's dividends plus buybacks have run at roughly 85-110% of underlying earnings (FY2026: $257M vs $294M net income; H1 FY2027: $197M vs about $84M).</t>
  </si>
  <si>
    <t xml:space="preserve">Model integrity status</t>
  </si>
  <si>
    <t xml:space="preserve">Colour legend</t>
  </si>
  <si>
    <t xml:space="preserve">Blue font</t>
  </si>
  <si>
    <t xml:space="preserve">Hard-coded input (assumption, FY2026A actual or snapshot)</t>
  </si>
  <si>
    <t xml:space="preserve">Black font</t>
  </si>
  <si>
    <t xml:space="preserve">Formula within the tab</t>
  </si>
  <si>
    <t xml:space="preserve">Green font</t>
  </si>
  <si>
    <t xml:space="preserve">Link to another tab</t>
  </si>
  <si>
    <t xml:space="preserve">Light-blue fill</t>
  </si>
  <si>
    <t xml:space="preserve">Section header; grey fill = sub-header; grey cells on the Total tab = intentionally blank assumptions</t>
  </si>
  <si>
    <t xml:space="preserve">Tab map</t>
  </si>
  <si>
    <t xml:space="preserve">Cover</t>
  </si>
  <si>
    <t xml:space="preserve">This page.</t>
  </si>
  <si>
    <t xml:space="preserve">Assumptions &amp; Sources</t>
  </si>
  <si>
    <t xml:space="preserve">Every baseline assumption with value, rationale and APA source; reclassifications; questions for the lecturer/TAs; limitations; reference list.</t>
  </si>
  <si>
    <t xml:space="preserve">Model - NA</t>
  </si>
  <si>
    <t xml:space="preserve">North America segment: baseline assumptions -&gt; shock -&gt; scenario -&gt; projection, valuation and balance sheet. North America reportable segment: Kay, Zales, Jared, Diamonds Direct, Banter by Piercing Pagoda, Rocksbox, the digital brands James Allen and Blue Nile, and Peoples Jewellers (Canada).</t>
  </si>
  <si>
    <t xml:space="preserve">Model - INTL</t>
  </si>
  <si>
    <t xml:space="preserve">International segment, identical layout. International reportable segment: H.Samuel and Ernest Jones stores and e-commerce in the UK and the Republic of Ireland.</t>
  </si>
  <si>
    <t xml:space="preserve">Model - OTHER</t>
  </si>
  <si>
    <t xml:space="preserve">Other / corporate, identical layout. 'Other' reportable segment (rough-diamond purchasing and polishing subsidiaries selling to third parties) plus corporate and unallocated costs. No stores, no e-commerce, no services: those rows are kept at zero.</t>
  </si>
  <si>
    <t xml:space="preserve">Total Company</t>
  </si>
  <si>
    <t xml:space="preserve">Same layout; assumptions blank; every financial line = sum of the three segments; EPS, ROE, payout and the actual-market-valuation check.</t>
  </si>
  <si>
    <t xml:space="preserve">Summary &amp; Chart</t>
  </si>
  <si>
    <t xml:space="preserve">Segment value table, native chart 'Signet Baseline Company Value by Business Segment ($M)', sales/net income chart, sensitivity table.</t>
  </si>
  <si>
    <t xml:space="preserve">Checks</t>
  </si>
  <si>
    <t xml:space="preserve">Formula-driven TRUE/FALSE integrity checks feeding the status cell above.</t>
  </si>
  <si>
    <t xml:space="preserve">Row layout</t>
  </si>
  <si>
    <t xml:space="preserve">All four model tabs share one row layout: baseline assumptions rows 6-20, shocks rows 23-37, scenario rows 40-54, projection rows 58-112 (total sales row 70, operating income row 80, net income row 87, segment value rows 98-101, equity row 110). Risk tabs in 3(d) can therefore reference the same cells across segments.</t>
  </si>
  <si>
    <t xml:space="preserve">Reproducibility</t>
  </si>
  <si>
    <t xml:space="preserve">Generated by build/build_model.py (openpyxl); all inputs are in one dictionary at the top of that script with the source beside each. The workbook contains live Excel formulas only (no macros, no external links). Excel recalculates on open.</t>
  </si>
  <si>
    <t xml:space="preserve">Baseline assumptions, rationale and sources</t>
  </si>
  <si>
    <t xml:space="preserve">One row per assumption. Values are repeated in blue on the model tabs; this tab is documentation (no model formulas depend on it). APA 7th in-text citations; full reference list at the bottom.</t>
  </si>
  <si>
    <t xml:space="preserve">#</t>
  </si>
  <si>
    <t xml:space="preserve">Group</t>
  </si>
  <si>
    <t xml:space="preserve">Assumption</t>
  </si>
  <si>
    <t xml:space="preserve">Segment(s)</t>
  </si>
  <si>
    <t xml:space="preserve">Value(s) by year or rule</t>
  </si>
  <si>
    <t xml:space="preserve">Rationale</t>
  </si>
  <si>
    <t xml:space="preserve">Source (APA in-text)</t>
  </si>
  <si>
    <t xml:space="preserve">Revenue drivers</t>
  </si>
  <si>
    <t xml:space="preserve">Store count roll-forward: gross openings</t>
  </si>
  <si>
    <t xml:space="preserve">NA</t>
  </si>
  <si>
    <t xml:space="preserve">FY27 6; FY28 10; FY29 10; FY30+ 12 per year</t>
  </si>
  <si>
    <t xml:space="preserve">Signet opened 14 stores in FY2026 and only 3 in H1 FY2027 while it reorients toward off-mall formats; openings recover modestly as repositioned stores open.</t>
  </si>
  <si>
    <t xml:space="preserve">Signet Jewelers Limited (2026a, 2026d)</t>
  </si>
  <si>
    <t xml:space="preserve">Store count roll-forward: closures</t>
  </si>
  <si>
    <t xml:space="preserve">FY27 70; FY28 50; FY29 40; FY30 30; FY31 25; FY32+ 20</t>
  </si>
  <si>
    <t xml:space="preserve">64 closures in FY2026 and 50 already in H1 FY2027; management guides to a low-single-digit decline in net square footage. Closures taper as the mall-heavy portion of the fleet shrinks.</t>
  </si>
  <si>
    <t xml:space="preserve">Signet Jewelers Limited (2026a, 2026c, 2026d)</t>
  </si>
  <si>
    <t xml:space="preserve">Store count roll-forward</t>
  </si>
  <si>
    <t xml:space="preserve">INTL</t>
  </si>
  <si>
    <t xml:space="preserve">Openings 2 per year; closures 4 (FY27), 5 (FY28-FY31), 4 thereafter</t>
  </si>
  <si>
    <t xml:space="preserve">International closed 10 stores in FY2026 and 3 in H1 FY2027 with 2 openings; a slow net reduction of the UK/ROI estate continues.</t>
  </si>
  <si>
    <t xml:space="preserve">OTHER</t>
  </si>
  <si>
    <t xml:space="preserve">Zero stores, openings and closures</t>
  </si>
  <si>
    <t xml:space="preserve">The Other segment and corporate have no retail stores; rows kept at zero per the 'same layout' guideline.</t>
  </si>
  <si>
    <t xml:space="preserve">Signet Jewelers Limited (2026a)</t>
  </si>
  <si>
    <t xml:space="preserve">Same-store sales growth (sales per average store)</t>
  </si>
  <si>
    <t xml:space="preserve">FY27 1.5%; FY28+ 2.0%</t>
  </si>
  <si>
    <t xml:space="preserve">FY2026 NA same-store sales +1.2%, Q2 FY2027 +2.2%, FY2027 guidance flat to +2.5%. Long-run 2.0% is in line with FOMC PCE inflation of 2.1-2.3% and a mature, share-gaining retailer; consensus revenue growth is 1.2-1.6% a year after net closures.</t>
  </si>
  <si>
    <t xml:space="preserve">Signet Jewelers Limited (2026b, 2026c); Board of Governors of the Federal Reserve System (2026b); Yahoo Finance (2026)</t>
  </si>
  <si>
    <t xml:space="preserve">Same-store sales growth</t>
  </si>
  <si>
    <t xml:space="preserve">2.0% every year</t>
  </si>
  <si>
    <t xml:space="preserve">FY2026 International same-store sales +2.6% (5.3% constant-currency total growth); UK CPI about 3% in early 2027 falling toward 2%; IMF UK GDP 1.3-1.5%.</t>
  </si>
  <si>
    <t xml:space="preserve">Signet Jewelers Limited (2026b); International Monetary Fund (2026a); Vanguard (2026)</t>
  </si>
  <si>
    <t xml:space="preserve">E-commerce merchandise sales growth</t>
  </si>
  <si>
    <t xml:space="preserve">FY27 3.0%; FY28+ 4.0%</t>
  </si>
  <si>
    <t xml:space="preserve">E-commerce is 21.8% of sales. The digital brands (James Allen, Blue Nile, $481.5M) shrank and were impaired in FY2025-26 and are now stabilised under 'Grow Brand Love'; omnichannel growth of the store brands lifts the blended rate slightly above store growth.</t>
  </si>
  <si>
    <t xml:space="preserve">Signet Jewelers Limited (2026a, 2026f)</t>
  </si>
  <si>
    <t xml:space="preserve">3.0% every year</t>
  </si>
  <si>
    <t xml:space="preserve">H.Samuel and Ernest Jones online growth assumed at nominal UK demand growth.</t>
  </si>
  <si>
    <t xml:space="preserve">Services attach rate (% of merchandise sales)</t>
  </si>
  <si>
    <t xml:space="preserve">NA / INTL</t>
  </si>
  <si>
    <t xml:space="preserve">NA 13.6% (FY26A) -&gt; 13.8% (FY27) -&gt; 14.0% (FY28+); INTL 11.1% flat</t>
  </si>
  <si>
    <t xml:space="preserve">Services revenue grew 7.8% to $803.5M in FY2026 on extended-service-plan strength while merchandise was flat, so attach rises modestly then stabilises. International attach set lower (less ESP penetration).</t>
  </si>
  <si>
    <t xml:space="preserve">Signet Jewelers Limited (2026a, 2026b)</t>
  </si>
  <si>
    <t xml:space="preserve">Other (diamond sourcing) revenue growth</t>
  </si>
  <si>
    <t xml:space="preserve">Third-party rough/polished diamond sales ($39.6M) grow with inflation; natural-diamond price weakness caps upside.</t>
  </si>
  <si>
    <t xml:space="preserve">Expense drivers</t>
  </si>
  <si>
    <t xml:space="preserve">Cost of sales % of total sales</t>
  </si>
  <si>
    <t xml:space="preserve">FY26A 59.8% -&gt; 59.3% from FY27</t>
  </si>
  <si>
    <t xml:space="preserve">Consolidated gross margin was 39.5% (39.2% FY25). The new Bread Financial credit agreement adds $30-40M of margin/non-comp revenue from FY2027 (about 0.5pp of NA sales); gold-cost and tariff headwinds assumed to offset the services mix benefit thereafter.</t>
  </si>
  <si>
    <t xml:space="preserve">Signet Jewelers Limited (2026a, 2026c); CNBC (2026)</t>
  </si>
  <si>
    <t xml:space="preserve">68.0% flat</t>
  </si>
  <si>
    <t xml:space="preserve">International gross margin estimated at 32% (FY2025 implied about 30% from segment SG&amp;A of $103.1M and operating income of $1.0M incl. $7.8M one-offs); UK fashion/watch mix is lower-margin than NA bridal.</t>
  </si>
  <si>
    <t xml:space="preserve">Signet Jewelers Limited (2025a, 2026b)</t>
  </si>
  <si>
    <t xml:space="preserve">92.0% flat</t>
  </si>
  <si>
    <t xml:space="preserve">Diamond trading is a low-margin pass-through activity.</t>
  </si>
  <si>
    <t xml:space="preserve">Team estimate</t>
  </si>
  <si>
    <t xml:space="preserve">Variable SG&amp;A % of sales</t>
  </si>
  <si>
    <t xml:space="preserve">NA / INTL / OTHER</t>
  </si>
  <si>
    <t xml:space="preserve">NA 20.0%; INTL 15.0%; OTHER 0%</t>
  </si>
  <si>
    <t xml:space="preserve">Store payroll, advertising and credit costs move with sales; the remainder of FY2026 SG&amp;A (NA $731.5M, INTL $51.4M, corporate $56.0M) is treated as fixed. Split is a team estimate consistent with Session 6 'marginal vs fixed' guidance.</t>
  </si>
  <si>
    <t xml:space="preserve">Signet Jewelers Limited (2026a); Columbia University Capstone (2026b)</t>
  </si>
  <si>
    <t xml:space="preserve">Fixed SG&amp;A inflation</t>
  </si>
  <si>
    <t xml:space="preserve">NA / OTHER</t>
  </si>
  <si>
    <t xml:space="preserve">2.5% (FY27), 2.3% (FY28), 2.1% (FY29), 2.0% thereafter</t>
  </si>
  <si>
    <t xml:space="preserve">FOMC median PCE inflation 3.7% (2026), 2.3% (2027), 2.1% (2028), 2.0% long run; FY2026 SG&amp;A growth was inflated by an incentive-compensation reset that is not repeated.</t>
  </si>
  <si>
    <t xml:space="preserve">Board of Governors of the Federal Reserve System (2026b); Signet Jewelers Limited (2026a)</t>
  </si>
  <si>
    <t xml:space="preserve">3.0% (FY27), 2.5% (FY28), 2.0% thereafter</t>
  </si>
  <si>
    <t xml:space="preserve">UK CPI about 3% in early 2027 falling toward 1.7-2% by 2028.</t>
  </si>
  <si>
    <t xml:space="preserve">Vanguard (2026)</t>
  </si>
  <si>
    <t xml:space="preserve">Cost-savings initiatives</t>
  </si>
  <si>
    <t xml:space="preserve">All</t>
  </si>
  <si>
    <t xml:space="preserve">0 in every year</t>
  </si>
  <si>
    <t xml:space="preserve">No quantified savings programme is disclosed; the row is kept so that 3(d) scenarios can model restructuring responses.</t>
  </si>
  <si>
    <t xml:space="preserve">Other operating income/(expense), one-time</t>
  </si>
  <si>
    <t xml:space="preserve">+$30M in FY27; 0 thereafter</t>
  </si>
  <si>
    <t xml:space="preserve">Management expects about $30M of IEEPA tariff refunds in FY2027 ($20M received by Q2); no further impairments or restructuring assumed in the baseline.</t>
  </si>
  <si>
    <t xml:space="preserve">Signet Jewelers Limited (2026d); CNBC (2026)</t>
  </si>
  <si>
    <t xml:space="preserve">Interest</t>
  </si>
  <si>
    <t xml:space="preserve">Net yield on invested assets</t>
  </si>
  <si>
    <t xml:space="preserve">0.7% of prior-year cash</t>
  </si>
  <si>
    <t xml:space="preserve">Calibrated: net interest income was only $4.0M in FY2026 and $9.8M in FY2025 on $600-900M of cash because much of the balance is operating float and fees offset income. Conservative versus a 4-5% money-market yield.</t>
  </si>
  <si>
    <t xml:space="preserve">Signet Jewelers Limited (2026b)</t>
  </si>
  <si>
    <t xml:space="preserve">Interest rate on debt</t>
  </si>
  <si>
    <t xml:space="preserve">6.5% of prior-year debt</t>
  </si>
  <si>
    <t xml:space="preserve">No funded debt at FY2026A; rate reflects SOFR about 4% plus an ABL spread, kept for liquidity/interest-rate shocks.</t>
  </si>
  <si>
    <t xml:space="preserve">Signet Jewelers Limited (2026a); Board of Governors of the Federal Reserve System (2026b)</t>
  </si>
  <si>
    <t xml:space="preserve">Tax</t>
  </si>
  <si>
    <t xml:space="preserve">Effective income tax rate</t>
  </si>
  <si>
    <t xml:space="preserve">24.0%</t>
  </si>
  <si>
    <t xml:space="preserve">FY2027 guidance 23-25% excluding discrete items; FY2026 actual 26.0% included discrete items.</t>
  </si>
  <si>
    <t xml:space="preserve">Signet Jewelers Limited (2026b, 2026c)</t>
  </si>
  <si>
    <t xml:space="preserve">25.0%</t>
  </si>
  <si>
    <t xml:space="preserve">UK corporation tax main rate 25%.</t>
  </si>
  <si>
    <t xml:space="preserve">Team assumption</t>
  </si>
  <si>
    <t xml:space="preserve">Discount rate</t>
  </si>
  <si>
    <t xml:space="preserve">Cost of equity (CAPM)</t>
  </si>
  <si>
    <t xml:space="preserve">10.5% = 5.24% + 1.25 x 4.20%</t>
  </si>
  <si>
    <t xml:space="preserve">Risk-free: 10-year Treasury 5.24% (Oct 9, 2026). Beta 1.25 = midpoint of published betas (1.10 MarketBeat, 1.12 Google, 1.44 Motley Fool). Implied ERP 4.20% (Damodaran, Oct 1, 2026). No sell-side WACC retrievable; 10.5% sits inside the 9-12% band typical for specialty retail.</t>
  </si>
  <si>
    <t xml:space="preserve">Board of Governors of the Federal Reserve System (2026a); Damodaran (2026); MarketBeat (2026); Google Finance (2026); The Motley Fool (2026)</t>
  </si>
  <si>
    <t xml:space="preserve">Cost of equity (CAPM) + premium</t>
  </si>
  <si>
    <t xml:space="preserve">12.0% (= 10.5% + 1.5pp)</t>
  </si>
  <si>
    <t xml:space="preserve">Premium for small scale, weak UK demand, GBP exposure and history of near-zero segment profit.</t>
  </si>
  <si>
    <t xml:space="preserve">Team assumption; Signet Jewelers Limited (2025a)</t>
  </si>
  <si>
    <t xml:space="preserve">Balance sheet</t>
  </si>
  <si>
    <t xml:space="preserve">Simplified cash-basis balance sheet</t>
  </si>
  <si>
    <t xml:space="preserve">Cash 874.8; inventory 1,940.1; debt 0; other liabilities (net) 848.7 plug; equity 1,966.2</t>
  </si>
  <si>
    <t xml:space="preserve">Per Session 5, non-cash items (D&amp;A, receivables, payables, leases, goodwill, intangibles, deferred revenue) are excluded. Inventory is kept as a non-depreciating operating asset. The single 'other liabilities, net' line calibrates simplified equity to reported shareholders' equity so the terminal value equals book equity.</t>
  </si>
  <si>
    <t xml:space="preserve">Signet Jewelers Limited (2026a, 2026b); Columbia University Capstone (2026a)</t>
  </si>
  <si>
    <t xml:space="preserve">Allocation of the balance sheet to segments</t>
  </si>
  <si>
    <t xml:space="preserve">By FY2026 sales share: NA 93.4%, INTL 6.0%, OTHER 0.6%</t>
  </si>
  <si>
    <t xml:space="preserve">Cash is managed centrally and inventory is not disclosed by segment; a sales-share allocation keeps every tab's balance sheet, interest income and terminal equity proportionate to its business. Alternative (all cash in OTHER) noted as a question.</t>
  </si>
  <si>
    <t xml:space="preserve">Team allocation</t>
  </si>
  <si>
    <t xml:space="preserve">Market data</t>
  </si>
  <si>
    <t xml:space="preserve">Share price, shares outstanding, market cap</t>
  </si>
  <si>
    <t xml:space="preserve">Total</t>
  </si>
  <si>
    <t xml:space="preserve">$105.22 (Oct 9, 2026); 37.5M shares; $3,945.8M</t>
  </si>
  <si>
    <t xml:space="preserve">Close per Yahoo Finance; share count between MarketBeat (38.3M) and Google Finance (37.3M) after the $125M ASR announced in September 2026.</t>
  </si>
  <si>
    <t xml:space="preserve">Yahoo Finance (2026); MarketBeat (2026); Google Finance (2026); Signet Jewelers Limited (2026c)</t>
  </si>
  <si>
    <t xml:space="preserve">Diluted shares for EPS</t>
  </si>
  <si>
    <t xml:space="preserve">41.6M (FY26A implied); 38.8M (FY27 guidance); flat thereafter</t>
  </si>
  <si>
    <t xml:space="preserve">Buybacks are distributions in this model, so the share count is not reduced further; EPS is therefore conservative in later years.</t>
  </si>
  <si>
    <t xml:space="preserve">Horizon</t>
  </si>
  <si>
    <t xml:space="preserve">Projection horizon and terminal value</t>
  </si>
  <si>
    <t xml:space="preserve">FY2027-FY2036 (10 years); terminal value = FY2036 equity</t>
  </si>
  <si>
    <t xml:space="preserve">Ten years reduces the weight of the terminal value (Session 6); terminal value = equity at end of projection is the 'simplest terminal value' recommended in class.</t>
  </si>
  <si>
    <t xml:space="preserve">Columbia University Capstone (2026b)</t>
  </si>
  <si>
    <t xml:space="preserve">Valuation</t>
  </si>
  <si>
    <t xml:space="preserve">Profits released vs. profits retained</t>
  </si>
  <si>
    <t xml:space="preserve">Profits released</t>
  </si>
  <si>
    <t xml:space="preserve">Dividends plus buybacks: FY2026 $257.1M vs net income $294.4M (87%); H1 FY2027 $196.7M vs about $84M; $125M ASR added. Distributing all earnings is the closer approximation of Signet's behaviour; equity roll-forward holds in every tab (Checks).</t>
  </si>
  <si>
    <t xml:space="preserve">Signet Jewelers Limited (2026b, 2026c, 2026d); Columbia University Capstone (2026a)</t>
  </si>
  <si>
    <t xml:space="preserve">Reclassifications and FY2026A calibration (how the 'Last Yr' column was built)</t>
  </si>
  <si>
    <t xml:space="preserve">Segment sales</t>
  </si>
  <si>
    <t xml:space="preserve">NA 6,363.6 = consolidated 6,813.6 less International 410.4 less Other 39.6 (search excerpt: 'about $6.36 billion, +1.0%').</t>
  </si>
  <si>
    <t xml:space="preserve">Segment cost of sales / SG&amp;A</t>
  </si>
  <si>
    <t xml:space="preserve">Fiscal 2026 segment cost lines (Note 5 'significant segment expenses') could not be retrieved, so: INTL gross margin 32.0% (FY2025 implied about 30%), INTL SG&amp;A 27.5% of sales (FY2025 27.6%), OTHER gross margin 8.0%, corporate fixed SG&amp;A 56.0 (FY2025 54.8 grown about 2%), NA = residual. Segment operating income still ties exactly to reported figures (NA 452.6, INTL 16.3, OTHER -75.8). Replace with the 10-K table when available.</t>
  </si>
  <si>
    <t xml:space="preserve">Other operating income/(expense)</t>
  </si>
  <si>
    <t xml:space="preserve">Consolidated -128.3 (= operating income 393.1 - gross margin 2,694.6 + SG&amp;A 2,173.2) comprises impairments (about 91.3 digital brands) and restructuring; split NA -103.3 / INTL -2.0 / OTHER -23.0 so that segment operating income ties.</t>
  </si>
  <si>
    <t xml:space="preserve">Revenue build (FY2026A)</t>
  </si>
  <si>
    <t xml:space="preserve">Services: NA 760.0 and INTL 41.0 of the 803.5 consolidated (balance assumed inside Other). E-commerce: 21.8% x 6,813.6 = 1,485.4, of which INTL 61.6 (15% of its sales) and NA 1,423.8. Store merchandise sales = segment sales - services - e-commerce; sales per store = store merchandise sales / average stores (NA 1.776, INTL 1.193).</t>
  </si>
  <si>
    <t xml:space="preserve">Interest, other non-operating and tax</t>
  </si>
  <si>
    <t xml:space="preserve">Net interest income 4.0 + other non-operating income 1.0 = 5.0 allocated by sales share (NA 4.7, INTL 0.3, OTHER 0.0). Income taxes 103.7 allocated at the 26.0% effective rate (NA 119.1, INTL 4.3, OTHER -19.7 tax benefit on the corporate loss).</t>
  </si>
  <si>
    <t xml:space="preserve">Simplified assets = cash 874.8 + inventory 1,940.1 = 2,814.9. Other liabilities, net = 2,814.9 - reported equity 1,966.2 = 848.7 (plug). All lines allocated by FY2026 sales share.</t>
  </si>
  <si>
    <t xml:space="preserve">Questions for the lecturer / TAs</t>
  </si>
  <si>
    <t xml:space="preserve">Q1</t>
  </si>
  <si>
    <t xml:space="preserve">Segment structure: we model three tabs (NA, INTL, OTHER = diamond sourcing + corporate/unallocated) so the Total tab reproduces the consolidated statements exactly. OTHER has a negative value (corporate cost centre). Is this acceptable, or should corporate costs be allocated into NA and INTL?</t>
  </si>
  <si>
    <t xml:space="preserve">Q2</t>
  </si>
  <si>
    <t xml:space="preserve">Valuation approach: we chose 'profits released' (PV of distributed earnings + PV of terminal equity) rather than 'profits retained'. Please confirm either is acceptable for 3(a) and that the same approach must be kept in 3(d).</t>
  </si>
  <si>
    <t xml:space="preserve">Q3</t>
  </si>
  <si>
    <t xml:space="preserve">Balance-sheet simplification: equity is calibrated to reported shareholders' equity through a single 'other liabilities, net' plug. Is a book-equity terminal value preferred to a tangible-equity (ex-goodwill) terminal value?</t>
  </si>
  <si>
    <t xml:space="preserve">Q4</t>
  </si>
  <si>
    <t xml:space="preserve">Segment cost allocations: the Fiscal 2026 segment cost-of-sales/SG&amp;A table could not be retrieved in the build environment; allocations are documented above and will be replaced from the 10-K. Does the TA want the replacement before Session 7?</t>
  </si>
  <si>
    <t xml:space="preserve">Q5</t>
  </si>
  <si>
    <t xml:space="preserve">Discount rate: single CAPM cost of equity per segment (10.5% / 12.0% / 10.5%) with the 10-year Treasury at 5.24%. Is a segment premium for International appropriate, or should one company-wide rate be used?</t>
  </si>
  <si>
    <t xml:space="preserve">Limitations</t>
  </si>
  <si>
    <t xml:space="preserve">L1</t>
  </si>
  <si>
    <t xml:space="preserve">Data access: sec.gov, signetjewelers.com and the IR PDF host were blocked in the build environment, so figures come from web-search excerpts of the 10-K, the Q4 FY2026 and Q2 FY2027 releases and their verbatim re-publications. Confidence flags (A-D) are in data/*.csv. Segment cost lines, International adjusted operating income and intangibles were not retrievable.</t>
  </si>
  <si>
    <t xml:space="preserve">L2</t>
  </si>
  <si>
    <t xml:space="preserve">Static balance sheet: no capex, depreciation, working-capital build or lease accounting; inventory and cash are held flat. Buybacks are treated as distributions and the share count is not reduced, so modelled EPS growth is slower than consensus.</t>
  </si>
  <si>
    <t xml:space="preserve">L3</t>
  </si>
  <si>
    <t xml:space="preserve">FX: International is modelled in USD at FY2026 rates; a GBP shock would be applied through the INTL sales-per-store and e-commerce drivers in 3(d).</t>
  </si>
  <si>
    <t xml:space="preserve">L4</t>
  </si>
  <si>
    <t xml:space="preserve">Seasonality: annual model; the holiday-quarter concentration of earnings is not visible (a quarterly layer could be added later).</t>
  </si>
  <si>
    <t xml:space="preserve">L5</t>
  </si>
  <si>
    <t xml:space="preserve">Tax: a single effective rate per segment; OTHER's corporate loss generates a tax benefit, consistent with consolidated filing.</t>
  </si>
  <si>
    <t xml:space="preserve">L6</t>
  </si>
  <si>
    <t xml:space="preserve">The 'Baseline snapshot' value is a pasted number (as in the Pear model) so that 3(d) can compare scenario runs against it; it is checked against the live value on the Checks tab and must be re-pasted if baseline assumptions change (rerun build/build_model.py).</t>
  </si>
  <si>
    <t xml:space="preserve">References (APA 7th)</t>
  </si>
  <si>
    <t xml:space="preserve">Bank of Canada. (2026, July 15). Monetary policy report: July 2026. https://www.bankofcanada.ca/publications/mpr/mpr-2026-07-15/projections/</t>
  </si>
  <si>
    <t xml:space="preserve">Board of Governors of the Federal Reserve System. (2026a, October 9). H.15 selected interest rates (daily). https://www.federalreserve.gov/releases/h15/</t>
  </si>
  <si>
    <t xml:space="preserve">Board of Governors of the Federal Reserve System. (2026b, September 16). Summary of economic projections. https://www.federalreserve.gov/monetarypolicy/fomcprojtabl20260916.htm</t>
  </si>
  <si>
    <t xml:space="preserve">CNBC. (2026, September 9). Signet shares soar as jeweler lifts annual profit forecast. https://www.cnbc.com/2026/09/09/signet-shares-soar-as-jeweler-lifts-annual-profit-forecast.html</t>
  </si>
  <si>
    <t xml:space="preserve">Damodaran, A. (2026). Implied equity risk premium update (October 1, 2026). NYU Stern School of Business. https://pages.stern.nyu.edu/~adamodar/New_Home_Page/home.htm</t>
  </si>
  <si>
    <t xml:space="preserve">European Commission. (2026, May). Economic forecast for Ireland (Spring 2026). https://economy-finance.ec.europa.eu/economic-surveillance-eu-member-states/country-pages-including-country-reports/ireland/economic-forecast-ireland_en</t>
  </si>
  <si>
    <t xml:space="preserve">Google Finance. (2026). Signet Jewelers Ltd (SIG) stock price and news. https://www.google.com/finance/quote/SIG:NYSE</t>
  </si>
  <si>
    <t xml:space="preserve">International Monetary Fund. (2026a, January). World economic outlook update: Global growth steady amid trade pressures. https://www.imf.org/en/Publications/WEO</t>
  </si>
  <si>
    <t xml:space="preserve">International Monetary Fund. (2026b, June 29). IMF Executive Board concludes 2026 Article IV consultation with Ireland [Press release No. 26/225]. https://www.imf.org/en/news/articles/2026/06/29/pr26225-ireland-imf-executive-board-concludes-2026-article-iv-consultation</t>
  </si>
  <si>
    <t xml:space="preserve">Jain, M., Razzaque, Z., Weng, S., Chamsi Bacha, J., &amp; Chan, A. (2026). Signet Jewelers Limited: Enterprise risk management program review (Case Assignment #2) [Unpublished course paper]. Columbia University. https://docs.google.com/document/d/1Qr6z5GyjssLGEcddoUETzNGfa9EOANAFN8yzgKIu-rs/edit</t>
  </si>
  <si>
    <t xml:space="preserve">MarketBeat. (2026). Signet Jewelers (SIG) stock price, news and analysis. https://www.marketbeat.com/stocks/NYSE/SIG/</t>
  </si>
  <si>
    <t xml:space="preserve">Segal, S. (2011). Corporate value of enterprise risk management: The next step in business management. John Wiley &amp; Sons.</t>
  </si>
  <si>
    <t xml:space="preserve">Signet Jewelers Limited. (2024). Annual report on Form 10-K for the fiscal year ended February 3, 2024. U.S. Securities and Exchange Commission. https://www.sec.gov/Archives/edgar/data/832988/000083298824000083/sig-20240203.htm</t>
  </si>
  <si>
    <t xml:space="preserve">Signet Jewelers Limited. (2024, March 20). Signet Jewelers reports fourth quarter and Fiscal 2024 results [Press release; Form 8-K Exhibit 99.1]. U.S. Securities and Exchange Commission. https://www.sec.gov/Archives/edgar/data/832988/000083298824000076/fy25ex9913x20x24pressrelea.htm</t>
  </si>
  <si>
    <t xml:space="preserve">Signet Jewelers Limited. (2025a). Annual report on Form 10-K for the fiscal year ended February 1, 2025. U.S. Securities and Exchange Commission. https://www.sec.gov/Archives/edgar/data/832988/000083298825000018/sig-20250201.htm</t>
  </si>
  <si>
    <t xml:space="preserve">Signet Jewelers Limited. (2025b, March 19). Signet Jewelers reports fourth quarter and Fiscal 2025 results [Press release]. Business Wire. https://www.businesswire.com/news/home/20250319542686/en/Signet-Jewelers-Reports-Fourth-Quarter-and-Fiscal-2025-Results</t>
  </si>
  <si>
    <t xml:space="preserve">Signet Jewelers Limited. (2026a). Annual report on Form 10-K for the fiscal year ended January 31, 2026. U.S. Securities and Exchange Commission. https://www.sec.gov/Archives/edgar/data/832988/000083298826000055/sig-20260131.htm</t>
  </si>
  <si>
    <t xml:space="preserve">Signet Jewelers Limited. (2026b, March 19). Signet Jewelers reports fourth quarter and full year Fiscal 2026 results [Press release; Form 8-K Exhibit 99.1]. U.S. Securities and Exchange Commission. https://www.sec.gov/Archives/edgar/data/832988/000083298826000054/fy27ex9913x19x26pressrelea.htm</t>
  </si>
  <si>
    <t xml:space="preserve">Signet Jewelers Limited. (2026c, September 9). Signet Jewelers reports second quarter Fiscal 2027 results [Press release; Form 8-K Exhibit 99.1]. U.S. Securities and Exchange Commission. https://www.sec.gov/Archives/edgar/data/0000832988/000083298826000227/fy27ex99109x09x26pressrele.htm</t>
  </si>
  <si>
    <t xml:space="preserve">Signet Jewelers Limited. (2026d). Quarterly report on Form 10-Q for the quarterly period ended August 1, 2026. U.S. Securities and Exchange Commission. https://www.sec.gov/Archives/edgar/data/0000832988/000083298826000229/sig-20260801.htm</t>
  </si>
  <si>
    <t xml:space="preserve">Signet Jewelers Limited. (2026e). Quarterly report on Form 10-Q for the quarterly period ended May 2, 2026. U.S. Securities and Exchange Commission. https://www.sec.gov/Archives/edgar/data/0000832988/000083298826000159/sig-20260502.htm</t>
  </si>
  <si>
    <t xml:space="preserve">Signet Jewelers Limited. (2026f). Fiscal 2026 annual report. https://s26.q4cdn.com/755441662/files/doc_financials/annual/SIG-fy26-AR.pdf</t>
  </si>
  <si>
    <t xml:space="preserve">StockAnalysis. (2026). Signet Jewelers (SIG) statistics, valuation and forecast. https://stockanalysis.com/stocks/sig/statistics/</t>
  </si>
  <si>
    <t xml:space="preserve">The Motley Fool. (2026). Signet Jewelers (SIG) stock price and news. https://www.fool.com/quote/nyse/sig/</t>
  </si>
  <si>
    <t xml:space="preserve">Vanguard. (2026, August 11). Vanguard economic and market outlook: United Kingdom. https://externalcrewnet.vanguard.com/content/corporatesite/us/en/corp/vemo/vemo-united-kingdom.html</t>
  </si>
  <si>
    <t xml:space="preserve">WallStreetZen. (2026). Signet Jewelers stock forecast and predictions. https://www.wallstreetzen.com/stocks/us/nyse/sig/stock-forecast</t>
  </si>
  <si>
    <t xml:space="preserve">Yahoo Finance. (2026). Signet Jewelers Limited (SIG) analysis and historical quotes. https://finance.yahoo.com/quote/SIG/analysis/</t>
  </si>
  <si>
    <t xml:space="preserve">Signet Jewelers - Baseline Value-Based ERM Model - Segment: North America</t>
  </si>
  <si>
    <t xml:space="preserve">North America reportable segment: Kay, Zales, Jared, Diamonds Direct, Banter by Piercing Pagoda, Rocksbox, the digital brands James Allen and Blue Nile, and Peoples Jewellers (Canada).  Units: $ millions (one decimal) unless stated; fiscal years end about January 31 (FY2026 = year ended Jan 31, 2026). Blue = hard-coded input, black = formula, green = link to another tab.</t>
  </si>
  <si>
    <t xml:space="preserve">Section</t>
  </si>
  <si>
    <t xml:space="preserve">Line item</t>
  </si>
  <si>
    <t xml:space="preserve">Last Yr (FY2026A)</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</si>
  <si>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</si>
  <si>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</si>
  <si>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</si>
  <si>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</si>
  <si>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</si>
  <si>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</si>
  <si>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</si>
  <si>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</si>
  <si>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</si>
  <si>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</si>
  <si>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Units</t>
  </si>
  <si>
    <t xml:space="preserve">Notes</t>
  </si>
  <si>
    <t xml:space="preserve">BASELINE ASSUMPTIONS (blue = hard-coded input; black '=previous cell' carries an assumption forward)</t>
  </si>
  <si>
    <t xml:space="preserve">Baseline</t>
  </si>
  <si>
    <t xml:space="preserve">Gross store openings (number of stores)</t>
  </si>
  <si>
    <t xml:space="preserve"># stores</t>
  </si>
  <si>
    <t xml:space="preserve">Gross openings; net of closures drives average stores.</t>
  </si>
  <si>
    <t xml:space="preserve">Store closures (number of stores)</t>
  </si>
  <si>
    <t xml:space="preserve">Fleet optimisation: mall closures / off-mall repositioning (net sq ft 'low-single-digit decline' guidance).</t>
  </si>
  <si>
    <t xml:space="preserve">Same-store sales growth (applied to merchandise sales per average store)</t>
  </si>
  <si>
    <t xml:space="preserve">% p.a.</t>
  </si>
  <si>
    <t xml:space="preserve">Price/mix + traffic growth applied to sales per average store.</t>
  </si>
  <si>
    <t xml:space="preserve">Includes digital-native brands (NA) and store-brand online sales.</t>
  </si>
  <si>
    <t xml:space="preserve">Services attach rate (services revenue as % of merchandise sales)</t>
  </si>
  <si>
    <t xml:space="preserve">% of merch.</t>
  </si>
  <si>
    <t xml:space="preserve">Extended service plans, repairs, custom design.</t>
  </si>
  <si>
    <t xml:space="preserve">Other (non-retail / diamond sourcing) revenue growth</t>
  </si>
  <si>
    <t xml:space="preserve">Only the diamond-sourcing sales in OTHER are non-zero.</t>
  </si>
  <si>
    <t xml:space="preserve">Cost of sales (incl. store occupancy) as % of total sales</t>
  </si>
  <si>
    <t xml:space="preserve">% of sales</t>
  </si>
  <si>
    <t xml:space="preserve">Signet books store occupancy in cost of sales; 1 - this = gross margin %.</t>
  </si>
  <si>
    <t xml:space="preserve">Variable SG&amp;A (store payroll, advertising, credit) as % of total sales</t>
  </si>
  <si>
    <t xml:space="preserve">Marginal expenses that move with sales.</t>
  </si>
  <si>
    <t xml:space="preserve">Fixed SG&amp;A inflation (corporate, support, fixed store overhead)</t>
  </si>
  <si>
    <t xml:space="preserve">Fixed expenses grow with inflation (Session 6 guidance).</t>
  </si>
  <si>
    <t xml:space="preserve">Cost-savings initiatives (incremental run-rate cut to fixed SG&amp;A)</t>
  </si>
  <si>
    <t xml:space="preserve">$M</t>
  </si>
  <si>
    <t xml:space="preserve">Zero: no quantified cost-savings programme disclosed. Row kept for shocks.</t>
  </si>
  <si>
    <t xml:space="preserve">Other operating income / (expense), one-time items (+ = income)</t>
  </si>
  <si>
    <t xml:space="preserve">FY2027 NA: +30 tariff refunds expected by management; impairments/restructuring assumed nil going forward.</t>
  </si>
  <si>
    <t xml:space="preserve">Net yield on invested assets (cash &amp; equivalents)</t>
  </si>
  <si>
    <t xml:space="preserve">% of prior-yr cash</t>
  </si>
  <si>
    <t xml:space="preserve">Calibrated: reported net interest income was only 4.0 (FY26) and 9.8 (FY25) on 600-900 of cash.</t>
  </si>
  <si>
    <t xml:space="preserve">Interest rate on debt (ABL revolver; debt is zero in baseline)</t>
  </si>
  <si>
    <t xml:space="preserve">% of prior-yr debt</t>
  </si>
  <si>
    <t xml:space="preserve">No funded debt at FY2026A; rate kept for interest-rate / liquidity shocks.</t>
  </si>
  <si>
    <t xml:space="preserve">% of pre-tax</t>
  </si>
  <si>
    <t xml:space="preserve">FY2027 guidance 23-25% (NA/OTHER 24%); UK statutory 25% for INTL.</t>
  </si>
  <si>
    <t xml:space="preserve">Discount rate (cost of equity, CAPM) - single rate for the segment</t>
  </si>
  <si>
    <t xml:space="preserve">CAPM: 5.24% + 1.25 x 4.20% = 10.5%; INTL +1.5pp premium. Single rate in the FY2027 column (as in Pear).</t>
  </si>
  <si>
    <t xml:space="preserve">SHOCK TO ASSUMPTIONS - additive shocks, all ZERO in the baseline (for use in Assignment 3(d))</t>
  </si>
  <si>
    <t xml:space="preserve">Shock</t>
  </si>
  <si>
    <t xml:space="preserve">Shock: Gross store openings (number of stores)</t>
  </si>
  <si>
    <t xml:space="preserve">Shock: Store closures (number of stores)</t>
  </si>
  <si>
    <t xml:space="preserve">Shock: Same-store sales growth (applied to merchandise sales per average store)</t>
  </si>
  <si>
    <t xml:space="preserve">Shock: E-commerce merchandise sales growth</t>
  </si>
  <si>
    <t xml:space="preserve">Shock: Services attach rate (services revenue as % of merchandise sales)</t>
  </si>
  <si>
    <t xml:space="preserve">Shock: Other (non-retail / diamond sourcing) revenue growth</t>
  </si>
  <si>
    <t xml:space="preserve">Shock: Cost of sales (incl. store occupancy) as % of total sales</t>
  </si>
  <si>
    <t xml:space="preserve">Shock: Variable SG&amp;A (store payroll, advertising, credit) as % of total sales</t>
  </si>
  <si>
    <t xml:space="preserve">Shock: Fixed SG&amp;A inflation (corporate, support, fixed store overhead)</t>
  </si>
  <si>
    <t xml:space="preserve">Shock: Cost-savings initiatives (incremental run-rate cut to fixed SG&amp;A)</t>
  </si>
  <si>
    <t xml:space="preserve">Shock: Other operating income / (expense), one-time items (+ = income)</t>
  </si>
  <si>
    <t xml:space="preserve">Shock: Net yield on invested assets (cash &amp; equivalents)</t>
  </si>
  <si>
    <t xml:space="preserve">Shock: Interest rate on debt (ABL revolver; debt is zero in baseline)</t>
  </si>
  <si>
    <t xml:space="preserve">Shock: Effective income tax rate</t>
  </si>
  <si>
    <t xml:space="preserve">Shock: Discount rate (cost of equity, CAPM) - single rate for the segment</t>
  </si>
  <si>
    <t xml:space="preserve">ASSUMPTIONS FOR SCENARIO RUN  (every cell = baseline + shock; the projection reads ONLY this block)</t>
  </si>
  <si>
    <t xml:space="preserve">Scenario</t>
  </si>
  <si>
    <t xml:space="preserve">Scenario: Gross store openings (number of stores)</t>
  </si>
  <si>
    <t xml:space="preserve">Scenario: Store closures (number of stores)</t>
  </si>
  <si>
    <t xml:space="preserve">Scenario: Same-store sales growth (applied to merchandise sales per average store)</t>
  </si>
  <si>
    <t xml:space="preserve">Scenario: E-commerce merchandise sales growth</t>
  </si>
  <si>
    <t xml:space="preserve">Scenario: Services attach rate (services revenue as % of merchandise sales)</t>
  </si>
  <si>
    <t xml:space="preserve">Scenario: Other (non-retail / diamond sourcing) revenue growth</t>
  </si>
  <si>
    <t xml:space="preserve">Scenario: Cost of sales (incl. store occupancy) as % of total sales</t>
  </si>
  <si>
    <t xml:space="preserve">Scenario: Variable SG&amp;A (store payroll, advertising, credit) as % of total sales</t>
  </si>
  <si>
    <t xml:space="preserve">Scenario: Fixed SG&amp;A inflation (corporate, support, fixed store overhead)</t>
  </si>
  <si>
    <t xml:space="preserve">Scenario: Cost-savings initiatives (incremental run-rate cut to fixed SG&amp;A)</t>
  </si>
  <si>
    <t xml:space="preserve">Scenario: Other operating income / (expense), one-time items (+ = income)</t>
  </si>
  <si>
    <t xml:space="preserve">Scenario: Net yield on invested assets (cash &amp; equivalents)</t>
  </si>
  <si>
    <t xml:space="preserve">Scenario: Interest rate on debt (ABL revolver; debt is zero in baseline)</t>
  </si>
  <si>
    <t xml:space="preserve">Scenario: Effective income tax rate</t>
  </si>
  <si>
    <t xml:space="preserve">Scenario: Discount rate (cost of equity, CAPM) - single rate for the segment</t>
  </si>
  <si>
    <t xml:space="preserve">PROJECTION  ($ millions unless stated; all formulas read the SCENARIO block, never the baseline block directly)</t>
  </si>
  <si>
    <t xml:space="preserve">Drivers</t>
  </si>
  <si>
    <t xml:space="preserve">OPERATING DRIVERS</t>
  </si>
  <si>
    <t xml:space="preserve">Stores - beginning of year</t>
  </si>
  <si>
    <t xml:space="preserve">Last Yr = stores at Feb 1, 2025 (10-K FY2026).</t>
  </si>
  <si>
    <t xml:space="preserve">Gross store openings</t>
  </si>
  <si>
    <t xml:space="preserve">Store closures</t>
  </si>
  <si>
    <t xml:space="preserve">Stores - end of year</t>
  </si>
  <si>
    <t xml:space="preserve">Average stores in operation</t>
  </si>
  <si>
    <t xml:space="preserve">Store merchandise sales per average store</t>
  </si>
  <si>
    <t xml:space="preserve">$M / store</t>
  </si>
  <si>
    <t xml:space="preserve">Last Yr calibrated = store merchandise sales / average stores; grows at same-store-sales assumption.</t>
  </si>
  <si>
    <t xml:space="preserve">Income stmt</t>
  </si>
  <si>
    <t xml:space="preserve">INCOME STATEMENT</t>
  </si>
  <si>
    <t xml:space="preserve">Store merchandise sales (average stores x sales per store)</t>
  </si>
  <si>
    <t xml:space="preserve">E-commerce merchandise sales</t>
  </si>
  <si>
    <t xml:space="preserve">Last Yr: NA 1,423.8 incl. James Allen + Blue Nile 481.5; company e-commerce 21.8% of sales.</t>
  </si>
  <si>
    <t xml:space="preserve">Services revenue (extended service plans, repairs, custom design)</t>
  </si>
  <si>
    <t xml:space="preserve">FY2026 services 803.5 consolidated (10-K); attach rate assumption x merchandise sales.</t>
  </si>
  <si>
    <t xml:space="preserve">Other revenue (diamond sourcing / non-retail)</t>
  </si>
  <si>
    <t xml:space="preserve">Diamond-sourcing sales to third parties (Other segment).</t>
  </si>
  <si>
    <t xml:space="preserve">TOTAL SALES</t>
  </si>
  <si>
    <t xml:space="preserve">FY2026A ties to reported segment sales.</t>
  </si>
  <si>
    <t xml:space="preserve">Revenue growth (calculated check row)</t>
  </si>
  <si>
    <t xml:space="preserve">%</t>
  </si>
  <si>
    <t xml:space="preserve">Cost of sales (merchandise, services and store occupancy)</t>
  </si>
  <si>
    <t xml:space="preserve">Segment split of consolidated 4,119.0 is a team allocation (see Assumptions &amp; Sources).</t>
  </si>
  <si>
    <t xml:space="preserve">Gross profit</t>
  </si>
  <si>
    <t xml:space="preserve">Gross margin %</t>
  </si>
  <si>
    <t xml:space="preserve">Variable SG&amp;A</t>
  </si>
  <si>
    <t xml:space="preserve">Fixed SG&amp;A (net of cost savings)</t>
  </si>
  <si>
    <t xml:space="preserve">Last Yr fixed SG&amp;A = segment SG&amp;A less variable component.</t>
  </si>
  <si>
    <t xml:space="preserve">Total SG&amp;A</t>
  </si>
  <si>
    <t xml:space="preserve">SG&amp;A % of sales</t>
  </si>
  <si>
    <t xml:space="preserve">Other operating income / (expense)</t>
  </si>
  <si>
    <t xml:space="preserve">Last Yr: impairments &amp; restructuring (consolidated -128.3); projection = one-time assumption row.</t>
  </si>
  <si>
    <t xml:space="preserve">OPERATING INCOME</t>
  </si>
  <si>
    <t xml:space="preserve">FY2026A ties to reported segment operating income.</t>
  </si>
  <si>
    <t xml:space="preserve">Operating margin %</t>
  </si>
  <si>
    <t xml:space="preserve">Interest income on invested assets (yield x prior-year cash)</t>
  </si>
  <si>
    <t xml:space="preserve">Last Yr = allocated share of 4.0 net interest + 1.0 other non-operating income.</t>
  </si>
  <si>
    <t xml:space="preserve">Interest expense on debt (rate x prior-year debt)</t>
  </si>
  <si>
    <t xml:space="preserve">Income before income taxes</t>
  </si>
  <si>
    <t xml:space="preserve">Pre-tax margin %</t>
  </si>
  <si>
    <t xml:space="preserve">Income taxes</t>
  </si>
  <si>
    <t xml:space="preserve">Last Yr = allocated share of 103.7 (26.0% effective rate).</t>
  </si>
  <si>
    <t xml:space="preserve">NET INCOME</t>
  </si>
  <si>
    <t xml:space="preserve">Net margin %</t>
  </si>
  <si>
    <t xml:space="preserve">DISTRIBUTIONS &amp; VALUATION (profits-released approach)</t>
  </si>
  <si>
    <t xml:space="preserve">Distributions to shareholders (dividends + buybacks = net income)</t>
  </si>
  <si>
    <t xml:space="preserve">Profits released: 100% of net income distributed (dividends + buybacks).</t>
  </si>
  <si>
    <t xml:space="preserve">Earnings retained in equity</t>
  </si>
  <si>
    <t xml:space="preserve">Zero under profits released; would be positive under profits retained.</t>
  </si>
  <si>
    <t xml:space="preserve">Distributable cash flow to shareholders (discounted below)</t>
  </si>
  <si>
    <t xml:space="preserve">Discount rate used (from scenario block)</t>
  </si>
  <si>
    <t xml:space="preserve">Reads the scenario-run discount rate so a discount-rate shock flows through.</t>
  </si>
  <si>
    <t xml:space="preserve">Terminal value = shareholders' equity at end of FY2036</t>
  </si>
  <si>
    <t xml:space="preserve">PV of FY2027-FY2036 distributable cash flows</t>
  </si>
  <si>
    <t xml:space="preserve">NPV over the 10 model years (end-of-year cash flows).</t>
  </si>
  <si>
    <t xml:space="preserve">PV of terminal value</t>
  </si>
  <si>
    <t xml:space="preserve">Terminal equity discounted 10 years.</t>
  </si>
  <si>
    <t xml:space="preserve">SEGMENT VALUE - BASELINE (snapshot, hard-coded for 3(d) comparison)</t>
  </si>
  <si>
    <t xml:space="preserve">Hard-coded copy of the live value (blue). In 3(d), shocks move the SCENARIO value; this stays fixed.</t>
  </si>
  <si>
    <t xml:space="preserve">SEGMENT VALUE - SCENARIO RUN (live formula)</t>
  </si>
  <si>
    <t xml:space="preserve">PV of distributable cash flows + PV of terminal equity.</t>
  </si>
  <si>
    <t xml:space="preserve">% change vs baseline</t>
  </si>
  <si>
    <t xml:space="preserve">$ change vs baseline</t>
  </si>
  <si>
    <t xml:space="preserve">BALANCE SHEET (simplified, cash basis, year-end)</t>
  </si>
  <si>
    <t xml:space="preserve">Invested assets (cash &amp; cash equivalents)</t>
  </si>
  <si>
    <t xml:space="preserve">Static under profits released (grows only by retained earnings).</t>
  </si>
  <si>
    <t xml:space="preserve">Inventory and other non-depreciating operating assets</t>
  </si>
  <si>
    <t xml:space="preserve">Non-depreciating operating asset held flat (no working-capital build modelled).</t>
  </si>
  <si>
    <t xml:space="preserve">Total assets</t>
  </si>
  <si>
    <t xml:space="preserve">Debt</t>
  </si>
  <si>
    <t xml:space="preserve">Other liabilities, net (calibrated to reported equity)</t>
  </si>
  <si>
    <t xml:space="preserve">Plug so that FY2026A simplified equity = reported shareholders' equity 1,966.2.</t>
  </si>
  <si>
    <t xml:space="preserve">Total liabilities</t>
  </si>
  <si>
    <t xml:space="preserve">SHAREHOLDERS' EQUITY</t>
  </si>
  <si>
    <t xml:space="preserve">FY2026A total = 1,966.2 reported shareholders' equity.</t>
  </si>
  <si>
    <t xml:space="preserve">Equity roll-forward check: Equity(t) - [Equity(t-1) + Net income(t) - Distributions(t)]  (= 0)</t>
  </si>
  <si>
    <t xml:space="preserve">Balance check: Total assets - Total liabilities - Equity  (= 0)</t>
  </si>
  <si>
    <t xml:space="preserve">Signet Jewelers - Baseline Value-Based ERM Model - Segment: International</t>
  </si>
  <si>
    <t xml:space="preserve">International reportable segment: H.Samuel and Ernest Jones stores and e-commerce in the UK and the Republic of Ireland.  Units: $ millions (one decimal) unless stated; fiscal years end about January 31 (FY2026 = year ended Jan 31, 2026). Blue = hard-coded input, black = formula, green = link to another tab.</t>
  </si>
  <si>
    <t xml:space="preserve">Signet Jewelers - Baseline Value-Based ERM Model - Segment: Other / Corporate</t>
  </si>
  <si>
    <t xml:space="preserve">'Other' reportable segment (rough-diamond purchasing and polishing subsidiaries selling to third parties) plus corporate and unallocated costs. No stores, no e-commerce, no services: those rows are kept at zero.  Units: $ millions (one decimal) unless stated; fiscal years end about January 31 (FY2026 = year ended Jan 31, 2026). Blue = hard-coded input, black = formula, green = link to another tab.</t>
  </si>
  <si>
    <t xml:space="preserve">Signet Jewelers - Baseline Value-Based ERM Model - TOTAL COMPANY (sum of Model - NA, Model - INTL, Model - OTHER)</t>
  </si>
  <si>
    <t xml:space="preserve">Same layout as the segment tabs. The three assumption blocks are intentionally blank: assumptions are applied at the business-segment level. Every financial-statement line is the sum of the three segment tabs (green); ratios and key metrics are recomputed here at the total-company level.</t>
  </si>
  <si>
    <t xml:space="preserve">BASELINE ASSUMPTIONS - blank at total level (set in the segment tabs)</t>
  </si>
  <si>
    <t xml:space="preserve">n/a - segment-level assumption</t>
  </si>
  <si>
    <t xml:space="preserve">SHOCK TO ASSUMPTIONS - blank at total level</t>
  </si>
  <si>
    <t xml:space="preserve">ASSUMPTIONS FOR SCENARIO RUN - blank at total level</t>
  </si>
  <si>
    <t xml:space="preserve">n/a</t>
  </si>
  <si>
    <t xml:space="preserve">n/a at total level: discount rates are applied segment by segment.</t>
  </si>
  <si>
    <t xml:space="preserve">Sum of the three segment baseline snapshots (green links).</t>
  </si>
  <si>
    <t xml:space="preserve">KEY METRICS (total company level)</t>
  </si>
  <si>
    <t xml:space="preserve">Diluted weighted average shares (millions)</t>
  </si>
  <si>
    <t xml:space="preserve">millions</t>
  </si>
  <si>
    <t xml:space="preserve">FY2026A implied (294.4 / $7.08); FY2027 per guidance (~38.8M); held flat thereafter (buybacks not modelled).</t>
  </si>
  <si>
    <t xml:space="preserve">Diluted EPS (net income / diluted shares)</t>
  </si>
  <si>
    <t xml:space="preserve">$ per share</t>
  </si>
  <si>
    <t xml:space="preserve">FY2027 adjusted EPS guidance $10.45-12.15; consensus $10.76 (FY27), $12.27 (FY28).</t>
  </si>
  <si>
    <t xml:space="preserve">Return on equity (net income / prior-year equity; Last Yr on year-end equity)</t>
  </si>
  <si>
    <t xml:space="preserve">Distributions / net income (payout ratio)</t>
  </si>
  <si>
    <t xml:space="preserve">ACTUAL MARKET VALUATION (reasonableness check vs. model baseline value)</t>
  </si>
  <si>
    <t xml:space="preserve">Valuation date</t>
  </si>
  <si>
    <t xml:space="preserve">date</t>
  </si>
  <si>
    <t xml:space="preserve">SIG share price (NYSE close)</t>
  </si>
  <si>
    <t xml:space="preserve">Yahoo Finance close, Oct 9, 2026 ($100.58 on Oct 2).</t>
  </si>
  <si>
    <t xml:space="preserve">Common shares outstanding (estimate)</t>
  </si>
  <si>
    <t xml:space="preserve">MarketBeat 38.3M / Google Finance 37.3M; Q2 FY27 diluted 39.3M before the $125M ASR.</t>
  </si>
  <si>
    <t xml:space="preserve">Market capitalization</t>
  </si>
  <si>
    <t xml:space="preserve">P/E on FY2027E model net income</t>
  </si>
  <si>
    <t xml:space="preserve">x</t>
  </si>
  <si>
    <t xml:space="preserve">Model baseline value / market cap - 1  ('under-valuation' if positive)</t>
  </si>
  <si>
    <t xml:space="preserve">A gap inside +/-30% is treated as plausible for this exercise (Checks tab).</t>
  </si>
  <si>
    <t xml:space="preserve">Model baseline value per share</t>
  </si>
  <si>
    <t xml:space="preserve">P/E on FY2026A reported net income</t>
  </si>
  <si>
    <t xml:space="preserve">Signet Jewelers - Baseline Company Value by Business Segment</t>
  </si>
  <si>
    <t xml:space="preserve">$ millions. Values are links to the model tabs (green). Charts are native Excel charts linked to the cells below.</t>
  </si>
  <si>
    <t xml:space="preserve">Business segment</t>
  </si>
  <si>
    <t xml:space="preserve">Baseline value ($M)</t>
  </si>
  <si>
    <t xml:space="preserve">% of total</t>
  </si>
  <si>
    <t xml:space="preserve">FY2026A sales ($M)</t>
  </si>
  <si>
    <t xml:space="preserve">FY2027E net income ($M)</t>
  </si>
  <si>
    <t xml:space="preserve">North America</t>
  </si>
  <si>
    <t xml:space="preserve">International</t>
  </si>
  <si>
    <t xml:space="preserve">Other / Corporate</t>
  </si>
  <si>
    <t xml:space="preserve">Total company (sum of segments)</t>
  </si>
  <si>
    <t xml:space="preserve">Market capitalization (Oct 9, 2026; $105.22 x 37.5M shares)</t>
  </si>
  <si>
    <t xml:space="preserve">Model value / market cap - 1</t>
  </si>
  <si>
    <t xml:space="preserve">Model value per share ($)</t>
  </si>
  <si>
    <t xml:space="preserve">Projected total company sales and net income by year ($M; links to Total Company tab)</t>
  </si>
  <si>
    <t xml:space="preserve">Fiscal year</t>
  </si>
  <si>
    <t xml:space="preserve">FY2026A</t>
  </si>
  <si>
    <t xml:space="preserve">Total sales</t>
  </si>
  <si>
    <t xml:space="preserve">Net income</t>
  </si>
  <si>
    <t xml:space="preserve">Operating income</t>
  </si>
  <si>
    <t xml:space="preserve">Sensitivity of total company baseline value (computed by re-running the model with build/build_model.py; pasted values)</t>
  </si>
  <si>
    <t xml:space="preserve">Assumption shocked (all years, all segments unless stated)</t>
  </si>
  <si>
    <t xml:space="preserve">Value: -1pp / less ($M)</t>
  </si>
  <si>
    <t xml:space="preserve">Base ($M)</t>
  </si>
  <si>
    <t xml:space="preserve">Value: +1pp / more ($M)</t>
  </si>
  <si>
    <t xml:space="preserve">Change for +1pp ($M)</t>
  </si>
  <si>
    <t xml:space="preserve">Change for +1pp (%)</t>
  </si>
  <si>
    <t xml:space="preserve">Revenue growth: same-store, e-commerce and other revenue growth +/-1pp</t>
  </si>
  <si>
    <t xml:space="preserve">Gross margin +/-1pp (cost of sales % -/+1pp)</t>
  </si>
  <si>
    <t xml:space="preserve">Discount rate (cost of equity) +/-1pp</t>
  </si>
  <si>
    <t xml:space="preserve">Variable SG&amp;A % of sales +/-1pp</t>
  </si>
  <si>
    <t xml:space="preserve">Fixed SG&amp;A inflation +/-1pp</t>
  </si>
  <si>
    <t xml:space="preserve">Effective tax rate +/-1pp</t>
  </si>
  <si>
    <t xml:space="preserve">NA store closures +/-10 per year</t>
  </si>
  <si>
    <t xml:space="preserve">Model integrity checks (formula-driven; every row must be TRUE)</t>
  </si>
  <si>
    <t xml:space="preserve">Tolerances: $0.05M for ties to reported figures, $0.001M for internal identities.</t>
  </si>
  <si>
    <t xml:space="preserve">Check</t>
  </si>
  <si>
    <t xml:space="preserve">Result</t>
  </si>
  <si>
    <t xml:space="preserve">Measured value</t>
  </si>
  <si>
    <t xml:space="preserve">Tolerance / target</t>
  </si>
  <si>
    <t xml:space="preserve">Total Company sales = NA + INTL + OTHER in every year (FY2026A-FY2036)</t>
  </si>
  <si>
    <t xml:space="preserve">&lt; 0.001</t>
  </si>
  <si>
    <t xml:space="preserve">Total Company operating income = NA + INTL + OTHER in every year (FY2026A-FY2036)</t>
  </si>
  <si>
    <t xml:space="preserve">Total Company net income = NA + INTL + OTHER in every year (FY2026A-FY2036)</t>
  </si>
  <si>
    <t xml:space="preserve">Total Company shareholders' equity = NA + INTL + OTHER in every year (FY2026A-FY2036)</t>
  </si>
  <si>
    <t xml:space="preserve">Total Company cash = NA + INTL + OTHER in every year (FY2026A-FY2036)</t>
  </si>
  <si>
    <t xml:space="preserve">FY2026A consolidated sales reproduces reported 6,813.6</t>
  </si>
  <si>
    <t xml:space="preserve">6,813.6 +/- 0.05</t>
  </si>
  <si>
    <t xml:space="preserve">FY2026A consolidated operating income reproduces reported 393.1</t>
  </si>
  <si>
    <t xml:space="preserve">393.1 +/- 0.05</t>
  </si>
  <si>
    <t xml:space="preserve">FY2026A consolidated net income reproduces reported 294.4</t>
  </si>
  <si>
    <t xml:space="preserve">294.4 +/- 0.05</t>
  </si>
  <si>
    <t xml:space="preserve">FY2026A shareholders' equity reproduces reported 1,966.2</t>
  </si>
  <si>
    <t xml:space="preserve">1,966.2 +/- 0.05</t>
  </si>
  <si>
    <t xml:space="preserve">FY2026A North America sales = reported 6,363.6</t>
  </si>
  <si>
    <t xml:space="preserve">6,363.6</t>
  </si>
  <si>
    <t xml:space="preserve">FY2026A North America operating income = reported 452.6</t>
  </si>
  <si>
    <t xml:space="preserve">452.6</t>
  </si>
  <si>
    <t xml:space="preserve">FY2026A International sales = reported 410.4</t>
  </si>
  <si>
    <t xml:space="preserve">410.4</t>
  </si>
  <si>
    <t xml:space="preserve">FY2026A International operating income = reported 16.3</t>
  </si>
  <si>
    <t xml:space="preserve">16.3</t>
  </si>
  <si>
    <t xml:space="preserve">FY2026A Other / Corporate sales = reported 39.6</t>
  </si>
  <si>
    <t xml:space="preserve">39.6</t>
  </si>
  <si>
    <t xml:space="preserve">FY2026A Other / Corporate operating income = reported -75.8</t>
  </si>
  <si>
    <t xml:space="preserve">-75.8</t>
  </si>
  <si>
    <t xml:space="preserve">Balance sheet balances (assets = liabilities + equity) every year in every tab</t>
  </si>
  <si>
    <t xml:space="preserve">Equity roll-forward Equity(t) = Equity(t-1) + NI(t) - Distributions(t) holds every year in every tab</t>
  </si>
  <si>
    <t xml:space="preserve">North America: scenario assumptions = baseline + shock for every cell</t>
  </si>
  <si>
    <t xml:space="preserve">&lt; 1e-7</t>
  </si>
  <si>
    <t xml:space="preserve">North America: all shock cells are zero (baseline run)</t>
  </si>
  <si>
    <t xml:space="preserve">0</t>
  </si>
  <si>
    <t xml:space="preserve">International: scenario assumptions = baseline + shock for every cell</t>
  </si>
  <si>
    <t xml:space="preserve">International: all shock cells are zero (baseline run)</t>
  </si>
  <si>
    <t xml:space="preserve">Other / Corporate: scenario assumptions = baseline + shock for every cell</t>
  </si>
  <si>
    <t xml:space="preserve">Other / Corporate: all shock cells are zero (baseline run)</t>
  </si>
  <si>
    <t xml:space="preserve">North America: baseline snapshot value = live scenario-run value</t>
  </si>
  <si>
    <t xml:space="preserve">&lt; 0.05</t>
  </si>
  <si>
    <t xml:space="preserve">International: baseline snapshot value = live scenario-run value</t>
  </si>
  <si>
    <t xml:space="preserve">Other / Corporate: baseline snapshot value = live scenario-run value</t>
  </si>
  <si>
    <t xml:space="preserve">Company baseline value = sum of the three segment values</t>
  </si>
  <si>
    <t xml:space="preserve">No #REF!, #DIV/0!, #VALUE!, #N/A or #NAME? anywhere in the model, summary and assumptions tabs (Cover excluded to avoid a circular reference with its status cell)</t>
  </si>
  <si>
    <t xml:space="preserve">0 error cells</t>
  </si>
  <si>
    <t xml:space="preserve">FY2027E total sales inside management guidance $6,700-6,900M</t>
  </si>
  <si>
    <t xml:space="preserve">6,700 - 6,900</t>
  </si>
  <si>
    <t xml:space="preserve">FY2027E operating income inside adjusted operating income guidance $535-605M</t>
  </si>
  <si>
    <t xml:space="preserve">535 - 605</t>
  </si>
  <si>
    <t xml:space="preserve">FY2027E diluted EPS inside adjusted EPS guidance $10.45-12.15</t>
  </si>
  <si>
    <t xml:space="preserve">10.45 - 12.15</t>
  </si>
  <si>
    <t xml:space="preserve">Model company value within +/-30% of market capitalization</t>
  </si>
  <si>
    <t xml:space="preserve">|gap| &lt;= 30%</t>
  </si>
  <si>
    <t xml:space="preserve">ALL CHECKS PASS?</t>
  </si>
  <si>
    <t xml:space="preserve">Structural check performed by build/build_model.py (not a formula): no projection formula references the baseline block directly.</t>
  </si>
</sst>
</file>

<file path=xl/styles.xml><?xml version="1.0" encoding="utf-8"?>
<styleSheet xmlns="http://schemas.openxmlformats.org/spreadsheetml/2006/main">
  <numFmts count="11">
    <numFmt numFmtId="164" formatCode="General"/>
    <numFmt numFmtId="165" formatCode="#,##0;\(#,##0\);\-"/>
    <numFmt numFmtId="166" formatCode="0.0%;\(0.0%\);\-"/>
    <numFmt numFmtId="167" formatCode="#,##0.0;\(#,##0.0\);\-"/>
    <numFmt numFmtId="168" formatCode="#,##0.000;\(#,##0.000\);\-"/>
    <numFmt numFmtId="169" formatCode="\$#,##0.00;&quot;($&quot;#,##0.00\);\-"/>
    <numFmt numFmtId="170" formatCode="yyyy\-mm\-dd"/>
    <numFmt numFmtId="171" formatCode="\$#,##0.00"/>
    <numFmt numFmtId="172" formatCode="0.0\x"/>
    <numFmt numFmtId="173" formatCode="#,##0"/>
    <numFmt numFmtId="174"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1F3864"/>
      <name val="Calibri"/>
      <family val="0"/>
      <charset val="1"/>
    </font>
    <font>
      <b val="true"/>
      <sz val="13"/>
      <color rgb="FF1F3864"/>
      <name val="Calibri"/>
      <family val="0"/>
      <charset val="1"/>
    </font>
    <font>
      <b val="true"/>
      <sz val="10"/>
      <color rgb="FF000000"/>
      <name val="Calibri"/>
      <family val="0"/>
      <charset val="1"/>
    </font>
    <font>
      <sz val="10"/>
      <color rgb="FF000000"/>
      <name val="Calibri"/>
      <family val="0"/>
      <charset val="1"/>
    </font>
    <font>
      <b val="true"/>
      <sz val="10"/>
      <color rgb="FF008000"/>
      <name val="Calibri"/>
      <family val="0"/>
      <charset val="1"/>
    </font>
    <font>
      <sz val="10"/>
      <color rgb="FF0000FF"/>
      <name val="Calibri"/>
      <family val="0"/>
      <charset val="1"/>
    </font>
    <font>
      <sz val="10"/>
      <color rgb="FF008000"/>
      <name val="Calibri"/>
      <family val="0"/>
      <charset val="1"/>
    </font>
    <font>
      <i val="true"/>
      <sz val="9"/>
      <color rgb="FF808080"/>
      <name val="Calibri"/>
      <family val="0"/>
      <charset val="1"/>
    </font>
    <font>
      <b val="true"/>
      <sz val="11"/>
      <color rgb="FF1F3864"/>
      <name val="Calibri"/>
      <family val="0"/>
      <charset val="1"/>
    </font>
    <font>
      <b val="true"/>
      <sz val="10"/>
      <color rgb="FF0000FF"/>
      <name val="Calibri"/>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DDEBF7"/>
        <bgColor rgb="FFEDEDED"/>
      </patternFill>
    </fill>
    <fill>
      <patternFill patternType="solid">
        <fgColor rgb="FFBDD7EE"/>
        <bgColor rgb="FFD9D9D9"/>
      </patternFill>
    </fill>
    <fill>
      <patternFill patternType="solid">
        <fgColor rgb="FFF2F2F2"/>
        <bgColor rgb="FFEDEDED"/>
      </patternFill>
    </fill>
    <fill>
      <patternFill patternType="solid">
        <fgColor rgb="FFEDEDED"/>
        <bgColor rgb="FFF2F2F2"/>
      </patternFill>
    </fill>
  </fills>
  <borders count="2">
    <border diagonalUp="false" diagonalDown="false">
      <left/>
      <right/>
      <top/>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tru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true" applyProtection="false">
      <alignment horizontal="center" vertical="bottom" textRotation="0" wrapText="false" indent="0" shrinkToFit="false"/>
      <protection locked="true" hidden="false"/>
    </xf>
    <xf numFmtId="174" fontId="6"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9F9F9"/>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AA433F"/>
      <rgbColor rgb="FFF2F2F2"/>
      <rgbColor rgb="FFDDEBF7"/>
      <rgbColor rgb="FF660066"/>
      <rgbColor rgb="FFCC8F8E"/>
      <rgbColor rgb="FF0066CC"/>
      <rgbColor rgb="FFBDD7EE"/>
      <rgbColor rgb="FF000080"/>
      <rgbColor rgb="FFFF00FF"/>
      <rgbColor rgb="FFFFFF00"/>
      <rgbColor rgb="FF00FFFF"/>
      <rgbColor rgb="FF800080"/>
      <rgbColor rgb="FF800000"/>
      <rgbColor rgb="FF008080"/>
      <rgbColor rgb="FF0000FF"/>
      <rgbColor rgb="FF00CCFF"/>
      <rgbColor rgb="FFEDEDED"/>
      <rgbColor rgb="FFC6EFCE"/>
      <rgbColor rgb="FFFFFF99"/>
      <rgbColor rgb="FF99CCFF"/>
      <rgbColor rgb="FFFF99CC"/>
      <rgbColor rgb="FFCC99FF"/>
      <rgbColor rgb="FFFFC7CE"/>
      <rgbColor rgb="FF3366FF"/>
      <rgbColor rgb="FF33CCCC"/>
      <rgbColor rgb="FF99CC00"/>
      <rgbColor rgb="FFFFCC00"/>
      <rgbColor rgb="FFFF9900"/>
      <rgbColor rgb="FFFF6600"/>
      <rgbColor rgb="FF4F81BD"/>
      <rgbColor rgb="FF87878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Signet Baseline Company Value by Business Segment ($M)</a:t>
            </a:r>
          </a:p>
        </c:rich>
      </c:tx>
      <c:overlay val="0"/>
      <c:spPr>
        <a:noFill/>
        <a:ln w="0">
          <a:noFill/>
        </a:ln>
      </c:spPr>
    </c:title>
    <c:autoTitleDeleted val="0"/>
    <c:plotArea>
      <c:barChart>
        <c:barDir val="col"/>
        <c:grouping val="clustered"/>
        <c:varyColors val="0"/>
        <c:ser>
          <c:idx val="0"/>
          <c:order val="0"/>
          <c:tx>
            <c:strRef>
              <c:f>'Summary &amp; Chart'!C4</c:f>
              <c:strCache>
                <c:ptCount val="1"/>
                <c:pt idx="0">
                  <c:v>Baseline value ($M)</c:v>
                </c:pt>
              </c:strCache>
            </c:strRef>
          </c:tx>
          <c:spPr>
            <a:solidFill>
              <a:srgbClr val="4f81bd"/>
            </a:solidFill>
            <a:ln w="9360">
              <a:solidFill>
                <a:srgbClr val="f9f9f9"/>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'Summary &amp; Chart'!$B$5:$B$8</c:f>
              <c:strCache>
                <c:ptCount val="4"/>
                <c:pt idx="0">
                  <c:v>North America</c:v>
                </c:pt>
                <c:pt idx="1">
                  <c:v>International</c:v>
                </c:pt>
                <c:pt idx="2">
                  <c:v>Other / Corporate</c:v>
                </c:pt>
                <c:pt idx="3">
                  <c:v>Total company (sum of segments)</c:v>
                </c:pt>
              </c:strCache>
            </c:strRef>
          </c:cat>
          <c:val>
            <c:numRef>
              <c:f>'Summary &amp; Chart'!$C$5:$C$8</c:f>
              <c:numCache>
                <c:formatCode>#,##0.0;\(#,##0.0\);\-</c:formatCode>
                <c:ptCount val="4"/>
                <c:pt idx="0">
                  <c:v>3452.22</c:v>
                </c:pt>
                <c:pt idx="1">
                  <c:v>107.66</c:v>
                </c:pt>
                <c:pt idx="2">
                  <c:v>-263.36</c:v>
                </c:pt>
                <c:pt idx="3">
                  <c:v>3296.52</c:v>
                </c:pt>
              </c:numCache>
            </c:numRef>
          </c:val>
        </c:ser>
        <c:gapWidth val="150"/>
        <c:overlap val="0"/>
        <c:axId val="89671513"/>
        <c:axId val="92744940"/>
      </c:barChart>
      <c:catAx>
        <c:axId val="8967151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744940"/>
        <c:crosses val="autoZero"/>
        <c:auto val="1"/>
        <c:lblAlgn val="ctr"/>
        <c:lblOffset val="100"/>
        <c:noMultiLvlLbl val="0"/>
      </c:catAx>
      <c:valAx>
        <c:axId val="92744940"/>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millions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67151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Projected Total Company Sales and Net Income ($M)</a:t>
            </a:r>
          </a:p>
        </c:rich>
      </c:tx>
      <c:overlay val="0"/>
      <c:spPr>
        <a:noFill/>
        <a:ln w="0">
          <a:noFill/>
        </a:ln>
      </c:spPr>
    </c:title>
    <c:autoTitleDeleted val="0"/>
    <c:plotArea>
      <c:lineChart>
        <c:grouping val="standard"/>
        <c:varyColors val="0"/>
        <c:ser>
          <c:idx val="0"/>
          <c:order val="0"/>
          <c:tx>
            <c:strRef>
              <c:f>'Summary &amp; Chart'!B15</c:f>
              <c:strCache>
                <c:ptCount val="1"/>
                <c:pt idx="0">
                  <c:v>Total sales</c:v>
                </c:pt>
              </c:strCache>
            </c:strRef>
          </c:tx>
          <c:spPr>
            <a:solidFill>
              <a:srgbClr val="aa433f"/>
            </a:solidFill>
            <a:ln w="47520">
              <a:solidFill>
                <a:srgbClr val="aa433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 &amp; Chart'!$C$14:$M$14</c:f>
              <c:strCache>
                <c:ptCount val="11"/>
                <c:pt idx="0">
                  <c:v>FY2026A</c:v>
                </c:pt>
                <c:pt idx="1">
                  <c:v>FY2027</c:v>
                </c:pt>
                <c:pt idx="2">
                  <c:v>FY2028</c:v>
                </c:pt>
                <c:pt idx="3">
                  <c:v>FY2029</c:v>
                </c:pt>
                <c:pt idx="4">
                  <c:v>FY2030</c:v>
                </c:pt>
                <c:pt idx="5">
                  <c:v>FY2031</c:v>
                </c:pt>
                <c:pt idx="6">
                  <c:v>FY2032</c:v>
                </c:pt>
                <c:pt idx="7">
                  <c:v>FY2033</c:v>
                </c:pt>
                <c:pt idx="8">
                  <c:v>FY2034</c:v>
                </c:pt>
                <c:pt idx="9">
                  <c:v>FY2035</c:v>
                </c:pt>
                <c:pt idx="10">
                  <c:v>FY2036</c:v>
                </c:pt>
              </c:strCache>
            </c:strRef>
          </c:cat>
          <c:val>
            <c:numRef>
              <c:f>'Summary &amp; Chart'!$C$15:$M$15</c:f>
              <c:numCache>
                <c:formatCode>#,##0.0;\(#,##0.0\);\-</c:formatCode>
                <c:ptCount val="11"/>
                <c:pt idx="0">
                  <c:v>6813.6</c:v>
                </c:pt>
                <c:pt idx="1">
                  <c:v>6831.52585283845</c:v>
                </c:pt>
                <c:pt idx="2">
                  <c:v>6901.31298029178</c:v>
                </c:pt>
                <c:pt idx="3">
                  <c:v>6995.80460490778</c:v>
                </c:pt>
                <c:pt idx="4">
                  <c:v>7116.00164124695</c:v>
                </c:pt>
                <c:pt idx="5">
                  <c:v>7257.84239803214</c:v>
                </c:pt>
                <c:pt idx="6">
                  <c:v>7415.35868342749</c:v>
                </c:pt>
                <c:pt idx="7">
                  <c:v>7583.60843448736</c:v>
                </c:pt>
                <c:pt idx="8">
                  <c:v>7756.4438166862</c:v>
                </c:pt>
                <c:pt idx="9">
                  <c:v>7934.01374503389</c:v>
                </c:pt>
                <c:pt idx="10">
                  <c:v>8116.47256602328</c:v>
                </c:pt>
              </c:numCache>
            </c:numRef>
          </c:val>
          <c:smooth val="1"/>
        </c:ser>
        <c:ser>
          <c:idx val="1"/>
          <c:order val="1"/>
          <c:tx>
            <c:strRef>
              <c:f>'Summary &amp; Chart'!B16</c:f>
              <c:strCache>
                <c:ptCount val="1"/>
                <c:pt idx="0">
                  <c:v>Net income</c:v>
                </c:pt>
              </c:strCache>
            </c:strRef>
          </c:tx>
          <c:spPr>
            <a:solidFill>
              <a:srgbClr val="cc8f8e"/>
            </a:solidFill>
            <a:ln w="47520">
              <a:solidFill>
                <a:srgbClr val="cc8f8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 &amp; Chart'!$C$14:$M$14</c:f>
              <c:strCache>
                <c:ptCount val="11"/>
                <c:pt idx="0">
                  <c:v>FY2026A</c:v>
                </c:pt>
                <c:pt idx="1">
                  <c:v>FY2027</c:v>
                </c:pt>
                <c:pt idx="2">
                  <c:v>FY2028</c:v>
                </c:pt>
                <c:pt idx="3">
                  <c:v>FY2029</c:v>
                </c:pt>
                <c:pt idx="4">
                  <c:v>FY2030</c:v>
                </c:pt>
                <c:pt idx="5">
                  <c:v>FY2031</c:v>
                </c:pt>
                <c:pt idx="6">
                  <c:v>FY2032</c:v>
                </c:pt>
                <c:pt idx="7">
                  <c:v>FY2033</c:v>
                </c:pt>
                <c:pt idx="8">
                  <c:v>FY2034</c:v>
                </c:pt>
                <c:pt idx="9">
                  <c:v>FY2035</c:v>
                </c:pt>
                <c:pt idx="10">
                  <c:v>FY2036</c:v>
                </c:pt>
              </c:strCache>
            </c:strRef>
          </c:cat>
          <c:val>
            <c:numRef>
              <c:f>'Summary &amp; Chart'!$C$16:$M$16</c:f>
              <c:numCache>
                <c:formatCode>#,##0.0;\(#,##0.0\);\-</c:formatCode>
                <c:ptCount val="11"/>
                <c:pt idx="0">
                  <c:v>294.400000000001</c:v>
                </c:pt>
                <c:pt idx="1">
                  <c:v>432.856748552538</c:v>
                </c:pt>
                <c:pt idx="2">
                  <c:v>405.691940420217</c:v>
                </c:pt>
                <c:pt idx="3">
                  <c:v>406.340514799715</c:v>
                </c:pt>
                <c:pt idx="4">
                  <c:v>411.37816684795</c:v>
                </c:pt>
                <c:pt idx="5">
                  <c:v>419.545272048733</c:v>
                </c:pt>
                <c:pt idx="6">
                  <c:v>429.875179272987</c:v>
                </c:pt>
                <c:pt idx="7">
                  <c:v>441.583479200427</c:v>
                </c:pt>
                <c:pt idx="8">
                  <c:v>453.719060617305</c:v>
                </c:pt>
                <c:pt idx="9">
                  <c:v>466.299482622784</c:v>
                </c:pt>
                <c:pt idx="10">
                  <c:v>479.343041501211</c:v>
                </c:pt>
              </c:numCache>
            </c:numRef>
          </c:val>
          <c:smooth val="1"/>
        </c:ser>
        <c:hiLowLines>
          <c:spPr>
            <a:ln w="0">
              <a:noFill/>
            </a:ln>
          </c:spPr>
        </c:hiLowLines>
        <c:marker val="0"/>
        <c:axId val="52317442"/>
        <c:axId val="79185238"/>
      </c:lineChart>
      <c:catAx>
        <c:axId val="523174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185238"/>
        <c:crosses val="autoZero"/>
        <c:auto val="1"/>
        <c:lblAlgn val="ctr"/>
        <c:lblOffset val="100"/>
        <c:noMultiLvlLbl val="0"/>
      </c:catAx>
      <c:valAx>
        <c:axId val="7918523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millions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31744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160920</xdr:rowOff>
    </xdr:from>
    <xdr:to>
      <xdr:col>16</xdr:col>
      <xdr:colOff>415800</xdr:colOff>
      <xdr:row>19</xdr:row>
      <xdr:rowOff>151560</xdr:rowOff>
    </xdr:to>
    <xdr:graphicFrame>
      <xdr:nvGraphicFramePr>
        <xdr:cNvPr id="0" name="Chart 1"/>
        <xdr:cNvGraphicFramePr/>
      </xdr:nvGraphicFramePr>
      <xdr:xfrm>
        <a:off x="9374400" y="571680"/>
        <a:ext cx="647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18</xdr:row>
      <xdr:rowOff>160560</xdr:rowOff>
    </xdr:from>
    <xdr:to>
      <xdr:col>16</xdr:col>
      <xdr:colOff>415800</xdr:colOff>
      <xdr:row>35</xdr:row>
      <xdr:rowOff>49320</xdr:rowOff>
    </xdr:to>
    <xdr:graphicFrame>
      <xdr:nvGraphicFramePr>
        <xdr:cNvPr id="1" name="Chart 2"/>
        <xdr:cNvGraphicFramePr/>
      </xdr:nvGraphicFramePr>
      <xdr:xfrm>
        <a:off x="9374400" y="380988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20"/>
  </cols>
  <sheetData>
    <row r="1" customFormat="false" ht="17.35" hidden="false" customHeight="false" outlineLevel="0" collapsed="false">
      <c r="B1" s="1" t="s">
        <v>0</v>
      </c>
    </row>
    <row r="2" customFormat="false" ht="16.15" hidden="false" customHeight="false" outlineLevel="0" collapsed="false">
      <c r="B2" s="2" t="s">
        <v>1</v>
      </c>
    </row>
    <row r="4" customFormat="false" ht="15" hidden="false" customHeight="false" outlineLevel="0" collapsed="false">
      <c r="B4" s="3" t="s">
        <v>2</v>
      </c>
      <c r="C4" s="4" t="s">
        <v>3</v>
      </c>
    </row>
    <row r="5" customFormat="false" ht="15" hidden="false" customHeight="false" outlineLevel="0" collapsed="false">
      <c r="B5" s="3" t="s">
        <v>4</v>
      </c>
      <c r="C5" s="4" t="s">
        <v>5</v>
      </c>
    </row>
    <row r="6" customFormat="false" ht="15" hidden="false" customHeight="false" outlineLevel="0" collapsed="false">
      <c r="B6" s="3" t="s">
        <v>6</v>
      </c>
      <c r="C6" s="4" t="s">
        <v>7</v>
      </c>
    </row>
    <row r="7" customFormat="false" ht="23.85" hidden="false" customHeight="false" outlineLevel="0" collapsed="false">
      <c r="B7" s="3" t="s">
        <v>8</v>
      </c>
      <c r="C7" s="4" t="s">
        <v>9</v>
      </c>
    </row>
    <row r="8" customFormat="false" ht="46.25" hidden="false" customHeight="false" outlineLevel="0" collapsed="false">
      <c r="B8" s="3" t="s">
        <v>10</v>
      </c>
      <c r="C8" s="4" t="s">
        <v>11</v>
      </c>
    </row>
    <row r="10" customFormat="false" ht="15" hidden="false" customHeight="false" outlineLevel="0" collapsed="false">
      <c r="B10" s="3" t="s">
        <v>12</v>
      </c>
      <c r="C10" s="5" t="str">
        <f aca="false">IF(Checks!C38,"ALL CHECKS PASS","CHECK FAILURES - see Checks tab")</f>
        <v>ALL CHECKS PASS</v>
      </c>
    </row>
    <row r="12" customFormat="false" ht="15" hidden="false" customHeight="false" outlineLevel="0" collapsed="false">
      <c r="B12" s="3" t="s">
        <v>13</v>
      </c>
    </row>
    <row r="13" customFormat="false" ht="15" hidden="false" customHeight="false" outlineLevel="0" collapsed="false">
      <c r="B13" s="6" t="s">
        <v>14</v>
      </c>
      <c r="C13" s="7" t="s">
        <v>15</v>
      </c>
    </row>
    <row r="14" customFormat="false" ht="15" hidden="false" customHeight="false" outlineLevel="0" collapsed="false">
      <c r="B14" s="7" t="s">
        <v>16</v>
      </c>
      <c r="C14" s="7" t="s">
        <v>17</v>
      </c>
    </row>
    <row r="15" customFormat="false" ht="15" hidden="false" customHeight="false" outlineLevel="0" collapsed="false">
      <c r="B15" s="8" t="s">
        <v>18</v>
      </c>
      <c r="C15" s="7" t="s">
        <v>19</v>
      </c>
    </row>
    <row r="16" customFormat="false" ht="15" hidden="false" customHeight="false" outlineLevel="0" collapsed="false">
      <c r="B16" s="9" t="s">
        <v>20</v>
      </c>
      <c r="C16" s="7" t="s">
        <v>21</v>
      </c>
    </row>
    <row r="18" customFormat="false" ht="15" hidden="false" customHeight="false" outlineLevel="0" collapsed="false">
      <c r="B18" s="3" t="s">
        <v>22</v>
      </c>
    </row>
    <row r="19" customFormat="false" ht="15" hidden="false" customHeight="false" outlineLevel="0" collapsed="false">
      <c r="B19" s="7" t="s">
        <v>23</v>
      </c>
      <c r="C19" s="4" t="s">
        <v>24</v>
      </c>
    </row>
    <row r="20" customFormat="false" ht="15" hidden="false" customHeight="false" outlineLevel="0" collapsed="false">
      <c r="B20" s="7" t="s">
        <v>25</v>
      </c>
      <c r="C20" s="4" t="s">
        <v>26</v>
      </c>
    </row>
    <row r="21" customFormat="false" ht="23.85" hidden="false" customHeight="false" outlineLevel="0" collapsed="false">
      <c r="B21" s="7" t="s">
        <v>27</v>
      </c>
      <c r="C21" s="4" t="s">
        <v>28</v>
      </c>
    </row>
    <row r="22" customFormat="false" ht="23.85" hidden="false" customHeight="false" outlineLevel="0" collapsed="false">
      <c r="B22" s="7" t="s">
        <v>29</v>
      </c>
      <c r="C22" s="4" t="s">
        <v>30</v>
      </c>
    </row>
    <row r="23" customFormat="false" ht="23.85" hidden="false" customHeight="false" outlineLevel="0" collapsed="false">
      <c r="B23" s="7" t="s">
        <v>31</v>
      </c>
      <c r="C23" s="4" t="s">
        <v>32</v>
      </c>
    </row>
    <row r="24" customFormat="false" ht="15" hidden="false" customHeight="false" outlineLevel="0" collapsed="false">
      <c r="B24" s="7" t="s">
        <v>33</v>
      </c>
      <c r="C24" s="4" t="s">
        <v>34</v>
      </c>
    </row>
    <row r="25" customFormat="false" ht="15" hidden="false" customHeight="false" outlineLevel="0" collapsed="false">
      <c r="B25" s="7" t="s">
        <v>35</v>
      </c>
      <c r="C25" s="4" t="s">
        <v>36</v>
      </c>
    </row>
    <row r="26" customFormat="false" ht="15" hidden="false" customHeight="false" outlineLevel="0" collapsed="false">
      <c r="B26" s="7" t="s">
        <v>37</v>
      </c>
      <c r="C26" s="4" t="s">
        <v>38</v>
      </c>
    </row>
    <row r="28" customFormat="false" ht="35.05" hidden="false" customHeight="false" outlineLevel="0" collapsed="false">
      <c r="B28" s="3" t="s">
        <v>39</v>
      </c>
      <c r="C28" s="4" t="s">
        <v>40</v>
      </c>
    </row>
    <row r="30" customFormat="false" ht="23.85" hidden="false" customHeight="false" outlineLevel="0" collapsed="false">
      <c r="B30" s="3" t="s">
        <v>41</v>
      </c>
      <c r="C30" s="4" t="s">
        <v>42</v>
      </c>
    </row>
  </sheetData>
  <conditionalFormatting sqref="C10">
    <cfRule type="cellIs" priority="2" operator="equal" aboveAverage="0" equalAverage="0" bottom="0" percent="0" rank="0" text="" dxfId="0">
      <formula>"ALL CHECKS PASS"</formula>
    </cfRule>
    <cfRule type="cellIs" priority="3" operator="notEqual" aboveAverage="0" equalAverage="0" bottom="0" percent="0" rank="0" text="" dxfId="1">
      <formula>"ALL CHECKS PASS"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36"/>
    <col collapsed="false" customWidth="true" hidden="false" outlineLevel="0" max="4" min="4" style="0" width="12"/>
    <col collapsed="false" customWidth="true" hidden="false" outlineLevel="0" max="5" min="5" style="0" width="34"/>
    <col collapsed="false" customWidth="true" hidden="false" outlineLevel="0" max="6" min="6" style="0" width="90"/>
    <col collapsed="false" customWidth="true" hidden="false" outlineLevel="0" max="7" min="7" style="0" width="42"/>
  </cols>
  <sheetData>
    <row r="1" customFormat="false" ht="17.35" hidden="false" customHeight="false" outlineLevel="0" collapsed="false">
      <c r="A1" s="1" t="s">
        <v>43</v>
      </c>
    </row>
    <row r="2" customFormat="false" ht="15" hidden="false" customHeight="false" outlineLevel="0" collapsed="false">
      <c r="A2" s="10" t="s">
        <v>44</v>
      </c>
    </row>
    <row r="4" customFormat="false" ht="15" hidden="false" customHeight="false" outlineLevel="0" collapsed="false">
      <c r="A4" s="11" t="s">
        <v>45</v>
      </c>
      <c r="B4" s="11" t="s">
        <v>46</v>
      </c>
      <c r="C4" s="11" t="s">
        <v>47</v>
      </c>
      <c r="D4" s="11" t="s">
        <v>48</v>
      </c>
      <c r="E4" s="11" t="s">
        <v>49</v>
      </c>
      <c r="F4" s="11" t="s">
        <v>50</v>
      </c>
      <c r="G4" s="11" t="s">
        <v>51</v>
      </c>
    </row>
    <row r="5" customFormat="false" ht="23.85" hidden="false" customHeight="false" outlineLevel="0" collapsed="false">
      <c r="A5" s="4" t="n">
        <v>1</v>
      </c>
      <c r="B5" s="4" t="s">
        <v>52</v>
      </c>
      <c r="C5" s="4" t="s">
        <v>53</v>
      </c>
      <c r="D5" s="4" t="s">
        <v>54</v>
      </c>
      <c r="E5" s="4" t="s">
        <v>55</v>
      </c>
      <c r="F5" s="4" t="s">
        <v>56</v>
      </c>
      <c r="G5" s="4" t="s">
        <v>57</v>
      </c>
    </row>
    <row r="6" customFormat="false" ht="23.85" hidden="false" customHeight="false" outlineLevel="0" collapsed="false">
      <c r="A6" s="4" t="n">
        <v>2</v>
      </c>
      <c r="B6" s="4" t="s">
        <v>52</v>
      </c>
      <c r="C6" s="4" t="s">
        <v>58</v>
      </c>
      <c r="D6" s="4" t="s">
        <v>54</v>
      </c>
      <c r="E6" s="4" t="s">
        <v>59</v>
      </c>
      <c r="F6" s="4" t="s">
        <v>60</v>
      </c>
      <c r="G6" s="4" t="s">
        <v>61</v>
      </c>
    </row>
    <row r="7" customFormat="false" ht="23.85" hidden="false" customHeight="false" outlineLevel="0" collapsed="false">
      <c r="A7" s="4" t="n">
        <v>3</v>
      </c>
      <c r="B7" s="4" t="s">
        <v>52</v>
      </c>
      <c r="C7" s="4" t="s">
        <v>62</v>
      </c>
      <c r="D7" s="4" t="s">
        <v>63</v>
      </c>
      <c r="E7" s="4" t="s">
        <v>64</v>
      </c>
      <c r="F7" s="4" t="s">
        <v>65</v>
      </c>
      <c r="G7" s="4" t="s">
        <v>57</v>
      </c>
    </row>
    <row r="8" customFormat="false" ht="15" hidden="false" customHeight="false" outlineLevel="0" collapsed="false">
      <c r="A8" s="4" t="n">
        <v>4</v>
      </c>
      <c r="B8" s="4" t="s">
        <v>52</v>
      </c>
      <c r="C8" s="4" t="s">
        <v>62</v>
      </c>
      <c r="D8" s="4" t="s">
        <v>66</v>
      </c>
      <c r="E8" s="4" t="s">
        <v>67</v>
      </c>
      <c r="F8" s="4" t="s">
        <v>68</v>
      </c>
      <c r="G8" s="4" t="s">
        <v>69</v>
      </c>
    </row>
    <row r="9" customFormat="false" ht="35.05" hidden="false" customHeight="false" outlineLevel="0" collapsed="false">
      <c r="A9" s="4" t="n">
        <v>5</v>
      </c>
      <c r="B9" s="4" t="s">
        <v>52</v>
      </c>
      <c r="C9" s="4" t="s">
        <v>70</v>
      </c>
      <c r="D9" s="4" t="s">
        <v>54</v>
      </c>
      <c r="E9" s="4" t="s">
        <v>71</v>
      </c>
      <c r="F9" s="4" t="s">
        <v>72</v>
      </c>
      <c r="G9" s="4" t="s">
        <v>73</v>
      </c>
    </row>
    <row r="10" customFormat="false" ht="23.85" hidden="false" customHeight="false" outlineLevel="0" collapsed="false">
      <c r="A10" s="4" t="n">
        <v>6</v>
      </c>
      <c r="B10" s="4" t="s">
        <v>52</v>
      </c>
      <c r="C10" s="4" t="s">
        <v>74</v>
      </c>
      <c r="D10" s="4" t="s">
        <v>63</v>
      </c>
      <c r="E10" s="4" t="s">
        <v>75</v>
      </c>
      <c r="F10" s="4" t="s">
        <v>76</v>
      </c>
      <c r="G10" s="4" t="s">
        <v>77</v>
      </c>
    </row>
    <row r="11" customFormat="false" ht="35.05" hidden="false" customHeight="false" outlineLevel="0" collapsed="false">
      <c r="A11" s="4" t="n">
        <v>7</v>
      </c>
      <c r="B11" s="4" t="s">
        <v>52</v>
      </c>
      <c r="C11" s="4" t="s">
        <v>78</v>
      </c>
      <c r="D11" s="4" t="s">
        <v>54</v>
      </c>
      <c r="E11" s="4" t="s">
        <v>79</v>
      </c>
      <c r="F11" s="4" t="s">
        <v>80</v>
      </c>
      <c r="G11" s="4" t="s">
        <v>81</v>
      </c>
    </row>
    <row r="12" customFormat="false" ht="15" hidden="false" customHeight="false" outlineLevel="0" collapsed="false">
      <c r="A12" s="4" t="n">
        <v>8</v>
      </c>
      <c r="B12" s="4" t="s">
        <v>52</v>
      </c>
      <c r="C12" s="4" t="s">
        <v>78</v>
      </c>
      <c r="D12" s="4" t="s">
        <v>63</v>
      </c>
      <c r="E12" s="4" t="s">
        <v>82</v>
      </c>
      <c r="F12" s="4" t="s">
        <v>83</v>
      </c>
      <c r="G12" s="4" t="s">
        <v>69</v>
      </c>
    </row>
    <row r="13" customFormat="false" ht="23.85" hidden="false" customHeight="false" outlineLevel="0" collapsed="false">
      <c r="A13" s="4" t="n">
        <v>9</v>
      </c>
      <c r="B13" s="4" t="s">
        <v>52</v>
      </c>
      <c r="C13" s="4" t="s">
        <v>84</v>
      </c>
      <c r="D13" s="4" t="s">
        <v>85</v>
      </c>
      <c r="E13" s="4" t="s">
        <v>86</v>
      </c>
      <c r="F13" s="4" t="s">
        <v>87</v>
      </c>
      <c r="G13" s="4" t="s">
        <v>88</v>
      </c>
    </row>
    <row r="14" customFormat="false" ht="15" hidden="false" customHeight="false" outlineLevel="0" collapsed="false">
      <c r="A14" s="4" t="n">
        <v>10</v>
      </c>
      <c r="B14" s="4" t="s">
        <v>52</v>
      </c>
      <c r="C14" s="4" t="s">
        <v>89</v>
      </c>
      <c r="D14" s="4" t="s">
        <v>66</v>
      </c>
      <c r="E14" s="4" t="s">
        <v>75</v>
      </c>
      <c r="F14" s="4" t="s">
        <v>90</v>
      </c>
      <c r="G14" s="4" t="s">
        <v>69</v>
      </c>
    </row>
    <row r="15" customFormat="false" ht="35.05" hidden="false" customHeight="false" outlineLevel="0" collapsed="false">
      <c r="A15" s="4" t="n">
        <v>11</v>
      </c>
      <c r="B15" s="4" t="s">
        <v>91</v>
      </c>
      <c r="C15" s="4" t="s">
        <v>92</v>
      </c>
      <c r="D15" s="4" t="s">
        <v>54</v>
      </c>
      <c r="E15" s="4" t="s">
        <v>93</v>
      </c>
      <c r="F15" s="4" t="s">
        <v>94</v>
      </c>
      <c r="G15" s="4" t="s">
        <v>95</v>
      </c>
    </row>
    <row r="16" customFormat="false" ht="23.85" hidden="false" customHeight="false" outlineLevel="0" collapsed="false">
      <c r="A16" s="4" t="n">
        <v>12</v>
      </c>
      <c r="B16" s="4" t="s">
        <v>91</v>
      </c>
      <c r="C16" s="4" t="s">
        <v>92</v>
      </c>
      <c r="D16" s="4" t="s">
        <v>63</v>
      </c>
      <c r="E16" s="4" t="s">
        <v>96</v>
      </c>
      <c r="F16" s="4" t="s">
        <v>97</v>
      </c>
      <c r="G16" s="4" t="s">
        <v>98</v>
      </c>
    </row>
    <row r="17" customFormat="false" ht="15" hidden="false" customHeight="false" outlineLevel="0" collapsed="false">
      <c r="A17" s="4" t="n">
        <v>13</v>
      </c>
      <c r="B17" s="4" t="s">
        <v>91</v>
      </c>
      <c r="C17" s="4" t="s">
        <v>92</v>
      </c>
      <c r="D17" s="4" t="s">
        <v>66</v>
      </c>
      <c r="E17" s="4" t="s">
        <v>99</v>
      </c>
      <c r="F17" s="4" t="s">
        <v>100</v>
      </c>
      <c r="G17" s="4" t="s">
        <v>101</v>
      </c>
    </row>
    <row r="18" customFormat="false" ht="23.85" hidden="false" customHeight="false" outlineLevel="0" collapsed="false">
      <c r="A18" s="4" t="n">
        <v>14</v>
      </c>
      <c r="B18" s="4" t="s">
        <v>91</v>
      </c>
      <c r="C18" s="4" t="s">
        <v>102</v>
      </c>
      <c r="D18" s="4" t="s">
        <v>103</v>
      </c>
      <c r="E18" s="4" t="s">
        <v>104</v>
      </c>
      <c r="F18" s="4" t="s">
        <v>105</v>
      </c>
      <c r="G18" s="4" t="s">
        <v>106</v>
      </c>
    </row>
    <row r="19" customFormat="false" ht="23.85" hidden="false" customHeight="false" outlineLevel="0" collapsed="false">
      <c r="A19" s="4" t="n">
        <v>15</v>
      </c>
      <c r="B19" s="4" t="s">
        <v>91</v>
      </c>
      <c r="C19" s="4" t="s">
        <v>107</v>
      </c>
      <c r="D19" s="4" t="s">
        <v>108</v>
      </c>
      <c r="E19" s="4" t="s">
        <v>109</v>
      </c>
      <c r="F19" s="4" t="s">
        <v>110</v>
      </c>
      <c r="G19" s="4" t="s">
        <v>111</v>
      </c>
    </row>
    <row r="20" customFormat="false" ht="15" hidden="false" customHeight="false" outlineLevel="0" collapsed="false">
      <c r="A20" s="4" t="n">
        <v>16</v>
      </c>
      <c r="B20" s="4" t="s">
        <v>91</v>
      </c>
      <c r="C20" s="4" t="s">
        <v>107</v>
      </c>
      <c r="D20" s="4" t="s">
        <v>63</v>
      </c>
      <c r="E20" s="4" t="s">
        <v>112</v>
      </c>
      <c r="F20" s="4" t="s">
        <v>113</v>
      </c>
      <c r="G20" s="4" t="s">
        <v>114</v>
      </c>
    </row>
    <row r="21" customFormat="false" ht="15" hidden="false" customHeight="false" outlineLevel="0" collapsed="false">
      <c r="A21" s="4" t="n">
        <v>17</v>
      </c>
      <c r="B21" s="4" t="s">
        <v>91</v>
      </c>
      <c r="C21" s="4" t="s">
        <v>115</v>
      </c>
      <c r="D21" s="4" t="s">
        <v>116</v>
      </c>
      <c r="E21" s="4" t="s">
        <v>117</v>
      </c>
      <c r="F21" s="4" t="s">
        <v>118</v>
      </c>
      <c r="G21" s="4" t="s">
        <v>69</v>
      </c>
    </row>
    <row r="22" customFormat="false" ht="23.85" hidden="false" customHeight="false" outlineLevel="0" collapsed="false">
      <c r="A22" s="4" t="n">
        <v>18</v>
      </c>
      <c r="B22" s="4" t="s">
        <v>91</v>
      </c>
      <c r="C22" s="4" t="s">
        <v>119</v>
      </c>
      <c r="D22" s="4" t="s">
        <v>54</v>
      </c>
      <c r="E22" s="4" t="s">
        <v>120</v>
      </c>
      <c r="F22" s="4" t="s">
        <v>121</v>
      </c>
      <c r="G22" s="4" t="s">
        <v>122</v>
      </c>
    </row>
    <row r="23" customFormat="false" ht="23.85" hidden="false" customHeight="false" outlineLevel="0" collapsed="false">
      <c r="A23" s="4" t="n">
        <v>19</v>
      </c>
      <c r="B23" s="4" t="s">
        <v>123</v>
      </c>
      <c r="C23" s="4" t="s">
        <v>124</v>
      </c>
      <c r="D23" s="4" t="s">
        <v>116</v>
      </c>
      <c r="E23" s="4" t="s">
        <v>125</v>
      </c>
      <c r="F23" s="4" t="s">
        <v>126</v>
      </c>
      <c r="G23" s="4" t="s">
        <v>127</v>
      </c>
    </row>
    <row r="24" customFormat="false" ht="23.85" hidden="false" customHeight="false" outlineLevel="0" collapsed="false">
      <c r="A24" s="4" t="n">
        <v>20</v>
      </c>
      <c r="B24" s="4" t="s">
        <v>123</v>
      </c>
      <c r="C24" s="4" t="s">
        <v>128</v>
      </c>
      <c r="D24" s="4" t="s">
        <v>116</v>
      </c>
      <c r="E24" s="4" t="s">
        <v>129</v>
      </c>
      <c r="F24" s="4" t="s">
        <v>130</v>
      </c>
      <c r="G24" s="4" t="s">
        <v>131</v>
      </c>
    </row>
    <row r="25" customFormat="false" ht="15" hidden="false" customHeight="false" outlineLevel="0" collapsed="false">
      <c r="A25" s="4" t="n">
        <v>21</v>
      </c>
      <c r="B25" s="4" t="s">
        <v>132</v>
      </c>
      <c r="C25" s="4" t="s">
        <v>133</v>
      </c>
      <c r="D25" s="4" t="s">
        <v>108</v>
      </c>
      <c r="E25" s="4" t="s">
        <v>134</v>
      </c>
      <c r="F25" s="4" t="s">
        <v>135</v>
      </c>
      <c r="G25" s="4" t="s">
        <v>136</v>
      </c>
    </row>
    <row r="26" customFormat="false" ht="15" hidden="false" customHeight="false" outlineLevel="0" collapsed="false">
      <c r="A26" s="4" t="n">
        <v>22</v>
      </c>
      <c r="B26" s="4" t="s">
        <v>132</v>
      </c>
      <c r="C26" s="4" t="s">
        <v>133</v>
      </c>
      <c r="D26" s="4" t="s">
        <v>63</v>
      </c>
      <c r="E26" s="4" t="s">
        <v>137</v>
      </c>
      <c r="F26" s="4" t="s">
        <v>138</v>
      </c>
      <c r="G26" s="4" t="s">
        <v>139</v>
      </c>
    </row>
    <row r="27" customFormat="false" ht="35.05" hidden="false" customHeight="false" outlineLevel="0" collapsed="false">
      <c r="A27" s="4" t="n">
        <v>23</v>
      </c>
      <c r="B27" s="4" t="s">
        <v>140</v>
      </c>
      <c r="C27" s="4" t="s">
        <v>141</v>
      </c>
      <c r="D27" s="4" t="s">
        <v>108</v>
      </c>
      <c r="E27" s="4" t="s">
        <v>142</v>
      </c>
      <c r="F27" s="4" t="s">
        <v>143</v>
      </c>
      <c r="G27" s="4" t="s">
        <v>144</v>
      </c>
    </row>
    <row r="28" customFormat="false" ht="15" hidden="false" customHeight="false" outlineLevel="0" collapsed="false">
      <c r="A28" s="4" t="n">
        <v>24</v>
      </c>
      <c r="B28" s="4" t="s">
        <v>140</v>
      </c>
      <c r="C28" s="4" t="s">
        <v>145</v>
      </c>
      <c r="D28" s="4" t="s">
        <v>63</v>
      </c>
      <c r="E28" s="4" t="s">
        <v>146</v>
      </c>
      <c r="F28" s="4" t="s">
        <v>147</v>
      </c>
      <c r="G28" s="4" t="s">
        <v>148</v>
      </c>
    </row>
    <row r="29" customFormat="false" ht="35.05" hidden="false" customHeight="false" outlineLevel="0" collapsed="false">
      <c r="A29" s="4" t="n">
        <v>25</v>
      </c>
      <c r="B29" s="4" t="s">
        <v>149</v>
      </c>
      <c r="C29" s="4" t="s">
        <v>150</v>
      </c>
      <c r="D29" s="4" t="s">
        <v>116</v>
      </c>
      <c r="E29" s="4" t="s">
        <v>151</v>
      </c>
      <c r="F29" s="4" t="s">
        <v>152</v>
      </c>
      <c r="G29" s="4" t="s">
        <v>153</v>
      </c>
    </row>
    <row r="30" customFormat="false" ht="35.05" hidden="false" customHeight="false" outlineLevel="0" collapsed="false">
      <c r="A30" s="4" t="n">
        <v>26</v>
      </c>
      <c r="B30" s="4" t="s">
        <v>149</v>
      </c>
      <c r="C30" s="4" t="s">
        <v>154</v>
      </c>
      <c r="D30" s="4" t="s">
        <v>116</v>
      </c>
      <c r="E30" s="4" t="s">
        <v>155</v>
      </c>
      <c r="F30" s="4" t="s">
        <v>156</v>
      </c>
      <c r="G30" s="4" t="s">
        <v>157</v>
      </c>
    </row>
    <row r="31" customFormat="false" ht="23.85" hidden="false" customHeight="false" outlineLevel="0" collapsed="false">
      <c r="A31" s="4" t="n">
        <v>27</v>
      </c>
      <c r="B31" s="4" t="s">
        <v>158</v>
      </c>
      <c r="C31" s="4" t="s">
        <v>159</v>
      </c>
      <c r="D31" s="4" t="s">
        <v>160</v>
      </c>
      <c r="E31" s="4" t="s">
        <v>161</v>
      </c>
      <c r="F31" s="4" t="s">
        <v>162</v>
      </c>
      <c r="G31" s="4" t="s">
        <v>163</v>
      </c>
    </row>
    <row r="32" customFormat="false" ht="23.85" hidden="false" customHeight="false" outlineLevel="0" collapsed="false">
      <c r="A32" s="4" t="n">
        <v>28</v>
      </c>
      <c r="B32" s="4" t="s">
        <v>158</v>
      </c>
      <c r="C32" s="4" t="s">
        <v>164</v>
      </c>
      <c r="D32" s="4" t="s">
        <v>160</v>
      </c>
      <c r="E32" s="4" t="s">
        <v>165</v>
      </c>
      <c r="F32" s="4" t="s">
        <v>166</v>
      </c>
      <c r="G32" s="4" t="s">
        <v>136</v>
      </c>
    </row>
    <row r="33" customFormat="false" ht="23.85" hidden="false" customHeight="false" outlineLevel="0" collapsed="false">
      <c r="A33" s="4" t="n">
        <v>29</v>
      </c>
      <c r="B33" s="4" t="s">
        <v>167</v>
      </c>
      <c r="C33" s="4" t="s">
        <v>168</v>
      </c>
      <c r="D33" s="4" t="s">
        <v>116</v>
      </c>
      <c r="E33" s="4" t="s">
        <v>169</v>
      </c>
      <c r="F33" s="4" t="s">
        <v>170</v>
      </c>
      <c r="G33" s="4" t="s">
        <v>171</v>
      </c>
    </row>
    <row r="34" customFormat="false" ht="35.05" hidden="false" customHeight="false" outlineLevel="0" collapsed="false">
      <c r="A34" s="4" t="n">
        <v>30</v>
      </c>
      <c r="B34" s="4" t="s">
        <v>172</v>
      </c>
      <c r="C34" s="4" t="s">
        <v>173</v>
      </c>
      <c r="D34" s="4" t="s">
        <v>116</v>
      </c>
      <c r="E34" s="4" t="s">
        <v>174</v>
      </c>
      <c r="F34" s="4" t="s">
        <v>175</v>
      </c>
      <c r="G34" s="4" t="s">
        <v>176</v>
      </c>
    </row>
    <row r="36" customFormat="false" ht="15" hidden="false" customHeight="false" outlineLevel="0" collapsed="false">
      <c r="A36" s="12" t="s">
        <v>177</v>
      </c>
      <c r="B36" s="13"/>
      <c r="C36" s="13"/>
      <c r="D36" s="13"/>
      <c r="E36" s="13"/>
      <c r="F36" s="13"/>
      <c r="G36" s="13"/>
    </row>
    <row r="37" customFormat="false" ht="15" hidden="false" customHeight="true" outlineLevel="0" collapsed="false">
      <c r="B37" s="14" t="s">
        <v>178</v>
      </c>
      <c r="C37" s="15" t="s">
        <v>179</v>
      </c>
      <c r="D37" s="15"/>
      <c r="E37" s="15"/>
      <c r="F37" s="15"/>
      <c r="G37" s="15"/>
    </row>
    <row r="38" customFormat="false" ht="40.5" hidden="false" customHeight="true" outlineLevel="0" collapsed="false">
      <c r="B38" s="14" t="s">
        <v>180</v>
      </c>
      <c r="C38" s="15" t="s">
        <v>181</v>
      </c>
      <c r="D38" s="15"/>
      <c r="E38" s="15"/>
      <c r="F38" s="15"/>
      <c r="G38" s="15"/>
    </row>
    <row r="39" customFormat="false" ht="27" hidden="false" customHeight="true" outlineLevel="0" collapsed="false">
      <c r="B39" s="14" t="s">
        <v>182</v>
      </c>
      <c r="C39" s="15" t="s">
        <v>183</v>
      </c>
      <c r="D39" s="15"/>
      <c r="E39" s="15"/>
      <c r="F39" s="15"/>
      <c r="G39" s="15"/>
    </row>
    <row r="40" customFormat="false" ht="40.5" hidden="false" customHeight="true" outlineLevel="0" collapsed="false">
      <c r="B40" s="14" t="s">
        <v>184</v>
      </c>
      <c r="C40" s="15" t="s">
        <v>185</v>
      </c>
      <c r="D40" s="15"/>
      <c r="E40" s="15"/>
      <c r="F40" s="15"/>
      <c r="G40" s="15"/>
    </row>
    <row r="41" customFormat="false" ht="27" hidden="false" customHeight="true" outlineLevel="0" collapsed="false">
      <c r="B41" s="14" t="s">
        <v>186</v>
      </c>
      <c r="C41" s="15" t="s">
        <v>187</v>
      </c>
      <c r="D41" s="15"/>
      <c r="E41" s="15"/>
      <c r="F41" s="15"/>
      <c r="G41" s="15"/>
    </row>
    <row r="42" customFormat="false" ht="27" hidden="false" customHeight="true" outlineLevel="0" collapsed="false">
      <c r="B42" s="14" t="s">
        <v>149</v>
      </c>
      <c r="C42" s="15" t="s">
        <v>188</v>
      </c>
      <c r="D42" s="15"/>
      <c r="E42" s="15"/>
      <c r="F42" s="15"/>
      <c r="G42" s="15"/>
    </row>
    <row r="44" customFormat="false" ht="15" hidden="false" customHeight="false" outlineLevel="0" collapsed="false">
      <c r="A44" s="12" t="s">
        <v>189</v>
      </c>
      <c r="B44" s="13"/>
      <c r="C44" s="13"/>
      <c r="D44" s="13"/>
      <c r="E44" s="13"/>
      <c r="F44" s="13"/>
      <c r="G44" s="13"/>
    </row>
    <row r="45" customFormat="false" ht="27" hidden="false" customHeight="true" outlineLevel="0" collapsed="false">
      <c r="B45" s="14" t="s">
        <v>190</v>
      </c>
      <c r="C45" s="15" t="s">
        <v>191</v>
      </c>
      <c r="D45" s="15"/>
      <c r="E45" s="15"/>
      <c r="F45" s="15"/>
      <c r="G45" s="15"/>
    </row>
    <row r="46" customFormat="false" ht="27" hidden="false" customHeight="true" outlineLevel="0" collapsed="false">
      <c r="B46" s="14" t="s">
        <v>192</v>
      </c>
      <c r="C46" s="15" t="s">
        <v>193</v>
      </c>
      <c r="D46" s="15"/>
      <c r="E46" s="15"/>
      <c r="F46" s="15"/>
      <c r="G46" s="15"/>
    </row>
    <row r="47" customFormat="false" ht="27" hidden="false" customHeight="true" outlineLevel="0" collapsed="false">
      <c r="B47" s="14" t="s">
        <v>194</v>
      </c>
      <c r="C47" s="15" t="s">
        <v>195</v>
      </c>
      <c r="D47" s="15"/>
      <c r="E47" s="15"/>
      <c r="F47" s="15"/>
      <c r="G47" s="15"/>
    </row>
    <row r="48" customFormat="false" ht="27" hidden="false" customHeight="true" outlineLevel="0" collapsed="false">
      <c r="B48" s="14" t="s">
        <v>196</v>
      </c>
      <c r="C48" s="15" t="s">
        <v>197</v>
      </c>
      <c r="D48" s="15"/>
      <c r="E48" s="15"/>
      <c r="F48" s="15"/>
      <c r="G48" s="15"/>
    </row>
    <row r="49" customFormat="false" ht="27" hidden="false" customHeight="true" outlineLevel="0" collapsed="false">
      <c r="B49" s="14" t="s">
        <v>198</v>
      </c>
      <c r="C49" s="15" t="s">
        <v>199</v>
      </c>
      <c r="D49" s="15"/>
      <c r="E49" s="15"/>
      <c r="F49" s="15"/>
      <c r="G49" s="15"/>
    </row>
    <row r="51" customFormat="false" ht="15" hidden="false" customHeight="false" outlineLevel="0" collapsed="false">
      <c r="A51" s="12" t="s">
        <v>200</v>
      </c>
      <c r="B51" s="13"/>
      <c r="C51" s="13"/>
      <c r="D51" s="13"/>
      <c r="E51" s="13"/>
      <c r="F51" s="13"/>
      <c r="G51" s="13"/>
    </row>
    <row r="52" customFormat="false" ht="40.5" hidden="false" customHeight="true" outlineLevel="0" collapsed="false">
      <c r="B52" s="14" t="s">
        <v>201</v>
      </c>
      <c r="C52" s="15" t="s">
        <v>202</v>
      </c>
      <c r="D52" s="15"/>
      <c r="E52" s="15"/>
      <c r="F52" s="15"/>
      <c r="G52" s="15"/>
    </row>
    <row r="53" customFormat="false" ht="27" hidden="false" customHeight="true" outlineLevel="0" collapsed="false">
      <c r="B53" s="14" t="s">
        <v>203</v>
      </c>
      <c r="C53" s="15" t="s">
        <v>204</v>
      </c>
      <c r="D53" s="15"/>
      <c r="E53" s="15"/>
      <c r="F53" s="15"/>
      <c r="G53" s="15"/>
    </row>
    <row r="54" customFormat="false" ht="15" hidden="false" customHeight="true" outlineLevel="0" collapsed="false">
      <c r="B54" s="14" t="s">
        <v>205</v>
      </c>
      <c r="C54" s="15" t="s">
        <v>206</v>
      </c>
      <c r="D54" s="15"/>
      <c r="E54" s="15"/>
      <c r="F54" s="15"/>
      <c r="G54" s="15"/>
    </row>
    <row r="55" customFormat="false" ht="15" hidden="false" customHeight="true" outlineLevel="0" collapsed="false">
      <c r="B55" s="14" t="s">
        <v>207</v>
      </c>
      <c r="C55" s="15" t="s">
        <v>208</v>
      </c>
      <c r="D55" s="15"/>
      <c r="E55" s="15"/>
      <c r="F55" s="15"/>
      <c r="G55" s="15"/>
    </row>
    <row r="56" customFormat="false" ht="15" hidden="false" customHeight="true" outlineLevel="0" collapsed="false">
      <c r="B56" s="14" t="s">
        <v>209</v>
      </c>
      <c r="C56" s="15" t="s">
        <v>210</v>
      </c>
      <c r="D56" s="15"/>
      <c r="E56" s="15"/>
      <c r="F56" s="15"/>
      <c r="G56" s="15"/>
    </row>
    <row r="57" customFormat="false" ht="27" hidden="false" customHeight="true" outlineLevel="0" collapsed="false">
      <c r="B57" s="14" t="s">
        <v>211</v>
      </c>
      <c r="C57" s="15" t="s">
        <v>212</v>
      </c>
      <c r="D57" s="15"/>
      <c r="E57" s="15"/>
      <c r="F57" s="15"/>
      <c r="G57" s="15"/>
    </row>
    <row r="59" customFormat="false" ht="15" hidden="false" customHeight="false" outlineLevel="0" collapsed="false">
      <c r="A59" s="12" t="s">
        <v>213</v>
      </c>
      <c r="B59" s="13"/>
      <c r="C59" s="13"/>
      <c r="D59" s="13"/>
      <c r="E59" s="13"/>
      <c r="F59" s="13"/>
      <c r="G59" s="13"/>
    </row>
    <row r="60" customFormat="false" ht="15" hidden="false" customHeight="true" outlineLevel="0" collapsed="false">
      <c r="B60" s="15" t="s">
        <v>214</v>
      </c>
      <c r="C60" s="15"/>
      <c r="D60" s="15"/>
      <c r="E60" s="15"/>
      <c r="F60" s="15"/>
      <c r="G60" s="15"/>
    </row>
    <row r="61" customFormat="false" ht="15" hidden="false" customHeight="true" outlineLevel="0" collapsed="false">
      <c r="B61" s="15" t="s">
        <v>215</v>
      </c>
      <c r="C61" s="15"/>
      <c r="D61" s="15"/>
      <c r="E61" s="15"/>
      <c r="F61" s="15"/>
      <c r="G61" s="15"/>
    </row>
    <row r="62" customFormat="false" ht="15" hidden="false" customHeight="true" outlineLevel="0" collapsed="false">
      <c r="B62" s="15" t="s">
        <v>216</v>
      </c>
      <c r="C62" s="15"/>
      <c r="D62" s="15"/>
      <c r="E62" s="15"/>
      <c r="F62" s="15"/>
      <c r="G62" s="15"/>
    </row>
    <row r="63" customFormat="false" ht="27" hidden="false" customHeight="true" outlineLevel="0" collapsed="false">
      <c r="B63" s="15" t="s">
        <v>217</v>
      </c>
      <c r="C63" s="15"/>
      <c r="D63" s="15"/>
      <c r="E63" s="15"/>
      <c r="F63" s="15"/>
      <c r="G63" s="15"/>
    </row>
    <row r="64" customFormat="false" ht="15" hidden="false" customHeight="true" outlineLevel="0" collapsed="false">
      <c r="B64" s="15" t="s">
        <v>218</v>
      </c>
      <c r="C64" s="15"/>
      <c r="D64" s="15"/>
      <c r="E64" s="15"/>
      <c r="F64" s="15"/>
      <c r="G64" s="15"/>
    </row>
    <row r="65" customFormat="false" ht="27" hidden="false" customHeight="true" outlineLevel="0" collapsed="false">
      <c r="B65" s="15" t="s">
        <v>219</v>
      </c>
      <c r="C65" s="15"/>
      <c r="D65" s="15"/>
      <c r="E65" s="15"/>
      <c r="F65" s="15"/>
      <c r="G65" s="15"/>
    </row>
    <row r="66" customFormat="false" ht="15" hidden="false" customHeight="true" outlineLevel="0" collapsed="false">
      <c r="B66" s="15" t="s">
        <v>220</v>
      </c>
      <c r="C66" s="15"/>
      <c r="D66" s="15"/>
      <c r="E66" s="15"/>
      <c r="F66" s="15"/>
      <c r="G66" s="15"/>
    </row>
    <row r="67" customFormat="false" ht="15" hidden="false" customHeight="true" outlineLevel="0" collapsed="false">
      <c r="B67" s="15" t="s">
        <v>221</v>
      </c>
      <c r="C67" s="15"/>
      <c r="D67" s="15"/>
      <c r="E67" s="15"/>
      <c r="F67" s="15"/>
      <c r="G67" s="15"/>
    </row>
    <row r="68" customFormat="false" ht="27" hidden="false" customHeight="true" outlineLevel="0" collapsed="false">
      <c r="B68" s="15" t="s">
        <v>222</v>
      </c>
      <c r="C68" s="15"/>
      <c r="D68" s="15"/>
      <c r="E68" s="15"/>
      <c r="F68" s="15"/>
      <c r="G68" s="15"/>
    </row>
    <row r="69" customFormat="false" ht="27" hidden="false" customHeight="true" outlineLevel="0" collapsed="false">
      <c r="B69" s="15" t="s">
        <v>223</v>
      </c>
      <c r="C69" s="15"/>
      <c r="D69" s="15"/>
      <c r="E69" s="15"/>
      <c r="F69" s="15"/>
      <c r="G69" s="15"/>
    </row>
    <row r="70" customFormat="false" ht="15" hidden="false" customHeight="true" outlineLevel="0" collapsed="false">
      <c r="B70" s="15" t="s">
        <v>224</v>
      </c>
      <c r="C70" s="15"/>
      <c r="D70" s="15"/>
      <c r="E70" s="15"/>
      <c r="F70" s="15"/>
      <c r="G70" s="15"/>
    </row>
    <row r="71" customFormat="false" ht="15" hidden="false" customHeight="true" outlineLevel="0" collapsed="false">
      <c r="B71" s="15" t="s">
        <v>225</v>
      </c>
      <c r="C71" s="15"/>
      <c r="D71" s="15"/>
      <c r="E71" s="15"/>
      <c r="F71" s="15"/>
      <c r="G71" s="15"/>
    </row>
    <row r="72" customFormat="false" ht="27" hidden="false" customHeight="true" outlineLevel="0" collapsed="false">
      <c r="B72" s="15" t="s">
        <v>226</v>
      </c>
      <c r="C72" s="15"/>
      <c r="D72" s="15"/>
      <c r="E72" s="15"/>
      <c r="F72" s="15"/>
      <c r="G72" s="15"/>
    </row>
    <row r="73" customFormat="false" ht="27" hidden="false" customHeight="true" outlineLevel="0" collapsed="false">
      <c r="B73" s="15" t="s">
        <v>227</v>
      </c>
      <c r="C73" s="15"/>
      <c r="D73" s="15"/>
      <c r="E73" s="15"/>
      <c r="F73" s="15"/>
      <c r="G73" s="15"/>
    </row>
    <row r="74" customFormat="false" ht="27" hidden="false" customHeight="true" outlineLevel="0" collapsed="false">
      <c r="B74" s="15" t="s">
        <v>228</v>
      </c>
      <c r="C74" s="15"/>
      <c r="D74" s="15"/>
      <c r="E74" s="15"/>
      <c r="F74" s="15"/>
      <c r="G74" s="15"/>
    </row>
    <row r="75" customFormat="false" ht="27" hidden="false" customHeight="true" outlineLevel="0" collapsed="false">
      <c r="B75" s="15" t="s">
        <v>229</v>
      </c>
      <c r="C75" s="15"/>
      <c r="D75" s="15"/>
      <c r="E75" s="15"/>
      <c r="F75" s="15"/>
      <c r="G75" s="15"/>
    </row>
    <row r="76" customFormat="false" ht="27" hidden="false" customHeight="true" outlineLevel="0" collapsed="false">
      <c r="B76" s="15" t="s">
        <v>230</v>
      </c>
      <c r="C76" s="15"/>
      <c r="D76" s="15"/>
      <c r="E76" s="15"/>
      <c r="F76" s="15"/>
      <c r="G76" s="15"/>
    </row>
    <row r="77" customFormat="false" ht="27" hidden="false" customHeight="true" outlineLevel="0" collapsed="false">
      <c r="B77" s="15" t="s">
        <v>231</v>
      </c>
      <c r="C77" s="15"/>
      <c r="D77" s="15"/>
      <c r="E77" s="15"/>
      <c r="F77" s="15"/>
      <c r="G77" s="15"/>
    </row>
    <row r="78" customFormat="false" ht="27" hidden="false" customHeight="true" outlineLevel="0" collapsed="false">
      <c r="B78" s="15" t="s">
        <v>232</v>
      </c>
      <c r="C78" s="15"/>
      <c r="D78" s="15"/>
      <c r="E78" s="15"/>
      <c r="F78" s="15"/>
      <c r="G78" s="15"/>
    </row>
    <row r="79" customFormat="false" ht="27" hidden="false" customHeight="true" outlineLevel="0" collapsed="false">
      <c r="B79" s="15" t="s">
        <v>233</v>
      </c>
      <c r="C79" s="15"/>
      <c r="D79" s="15"/>
      <c r="E79" s="15"/>
      <c r="F79" s="15"/>
      <c r="G79" s="15"/>
    </row>
    <row r="80" customFormat="false" ht="27" hidden="false" customHeight="true" outlineLevel="0" collapsed="false">
      <c r="B80" s="15" t="s">
        <v>234</v>
      </c>
      <c r="C80" s="15"/>
      <c r="D80" s="15"/>
      <c r="E80" s="15"/>
      <c r="F80" s="15"/>
      <c r="G80" s="15"/>
    </row>
    <row r="81" customFormat="false" ht="15" hidden="false" customHeight="true" outlineLevel="0" collapsed="false">
      <c r="B81" s="15" t="s">
        <v>235</v>
      </c>
      <c r="C81" s="15"/>
      <c r="D81" s="15"/>
      <c r="E81" s="15"/>
      <c r="F81" s="15"/>
      <c r="G81" s="15"/>
    </row>
    <row r="82" customFormat="false" ht="15" hidden="false" customHeight="true" outlineLevel="0" collapsed="false">
      <c r="B82" s="15" t="s">
        <v>236</v>
      </c>
      <c r="C82" s="15"/>
      <c r="D82" s="15"/>
      <c r="E82" s="15"/>
      <c r="F82" s="15"/>
      <c r="G82" s="15"/>
    </row>
    <row r="83" customFormat="false" ht="15" hidden="false" customHeight="true" outlineLevel="0" collapsed="false">
      <c r="B83" s="15" t="s">
        <v>237</v>
      </c>
      <c r="C83" s="15"/>
      <c r="D83" s="15"/>
      <c r="E83" s="15"/>
      <c r="F83" s="15"/>
      <c r="G83" s="15"/>
    </row>
    <row r="84" customFormat="false" ht="27" hidden="false" customHeight="true" outlineLevel="0" collapsed="false">
      <c r="B84" s="15" t="s">
        <v>238</v>
      </c>
      <c r="C84" s="15"/>
      <c r="D84" s="15"/>
      <c r="E84" s="15"/>
      <c r="F84" s="15"/>
      <c r="G84" s="15"/>
    </row>
    <row r="85" customFormat="false" ht="15" hidden="false" customHeight="true" outlineLevel="0" collapsed="false">
      <c r="B85" s="15" t="s">
        <v>239</v>
      </c>
      <c r="C85" s="15"/>
      <c r="D85" s="15"/>
      <c r="E85" s="15"/>
      <c r="F85" s="15"/>
      <c r="G85" s="15"/>
    </row>
    <row r="86" customFormat="false" ht="15" hidden="false" customHeight="true" outlineLevel="0" collapsed="false">
      <c r="B86" s="15" t="s">
        <v>240</v>
      </c>
      <c r="C86" s="15"/>
      <c r="D86" s="15"/>
      <c r="E86" s="15"/>
      <c r="F86" s="15"/>
      <c r="G86" s="15"/>
    </row>
  </sheetData>
  <mergeCells count="44">
    <mergeCell ref="C37:G37"/>
    <mergeCell ref="C38:G38"/>
    <mergeCell ref="C39:G39"/>
    <mergeCell ref="C40:G40"/>
    <mergeCell ref="C41:G41"/>
    <mergeCell ref="C42:G42"/>
    <mergeCell ref="C45:G45"/>
    <mergeCell ref="C46:G46"/>
    <mergeCell ref="C47:G47"/>
    <mergeCell ref="C48:G48"/>
    <mergeCell ref="C49:G49"/>
    <mergeCell ref="C52:G52"/>
    <mergeCell ref="C53:G53"/>
    <mergeCell ref="C54:G54"/>
    <mergeCell ref="C55:G55"/>
    <mergeCell ref="C56:G56"/>
    <mergeCell ref="C57:G57"/>
    <mergeCell ref="B60:G60"/>
    <mergeCell ref="B61:G61"/>
    <mergeCell ref="B62:G62"/>
    <mergeCell ref="B63:G63"/>
    <mergeCell ref="B64:G64"/>
    <mergeCell ref="B65:G65"/>
    <mergeCell ref="B66:G66"/>
    <mergeCell ref="B67:G67"/>
    <mergeCell ref="B68:G68"/>
    <mergeCell ref="B69:G69"/>
    <mergeCell ref="B70:G70"/>
    <mergeCell ref="B71:G71"/>
    <mergeCell ref="B72:G72"/>
    <mergeCell ref="B73:G73"/>
    <mergeCell ref="B74:G74"/>
    <mergeCell ref="B75:G75"/>
    <mergeCell ref="B76:G76"/>
    <mergeCell ref="B77:G77"/>
    <mergeCell ref="B78:G78"/>
    <mergeCell ref="B79:G79"/>
    <mergeCell ref="B80:G80"/>
    <mergeCell ref="B81:G81"/>
    <mergeCell ref="B82:G82"/>
    <mergeCell ref="B83:G83"/>
    <mergeCell ref="B84:G84"/>
    <mergeCell ref="B85:G85"/>
    <mergeCell ref="B86:G8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6"/>
    <col collapsed="false" customWidth="true" hidden="false" outlineLevel="0" max="3" min="3" style="0" width="17"/>
    <col collapsed="false" customWidth="true" hidden="false" outlineLevel="0" max="13" min="4" style="0" width="11.5"/>
    <col collapsed="false" customWidth="true" hidden="false" outlineLevel="0" max="14" min="14" style="0" width="17"/>
    <col collapsed="false" customWidth="true" hidden="false" outlineLevel="0" max="15" min="15" style="0" width="60"/>
  </cols>
  <sheetData>
    <row r="1" customFormat="false" ht="17.35" hidden="false" customHeight="false" outlineLevel="0" collapsed="false">
      <c r="A1" s="1" t="s">
        <v>241</v>
      </c>
    </row>
    <row r="2" customFormat="false" ht="15" hidden="false" customHeight="false" outlineLevel="0" collapsed="false">
      <c r="A2" s="10" t="s">
        <v>242</v>
      </c>
    </row>
    <row r="3" customFormat="false" ht="15" hidden="false" customHeight="false" outlineLevel="0" collapsed="false">
      <c r="A3" s="11" t="s">
        <v>243</v>
      </c>
      <c r="B3" s="11" t="s">
        <v>244</v>
      </c>
      <c r="C3" s="16" t="s">
        <v>245</v>
      </c>
      <c r="D3" s="16" t="s">
        <v>246</v>
      </c>
      <c r="E3" s="16" t="s">
        <v>247</v>
      </c>
      <c r="F3" s="16" t="s">
        <v>248</v>
      </c>
      <c r="G3" s="16" t="s">
        <v>249</v>
      </c>
      <c r="H3" s="16" t="s">
        <v>250</v>
      </c>
      <c r="I3" s="16" t="s">
        <v>251</v>
      </c>
      <c r="J3" s="16" t="s">
        <v>252</v>
      </c>
      <c r="K3" s="16" t="s">
        <v>253</v>
      </c>
      <c r="L3" s="16" t="s">
        <v>254</v>
      </c>
      <c r="M3" s="16" t="s">
        <v>255</v>
      </c>
      <c r="N3" s="11" t="s">
        <v>256</v>
      </c>
      <c r="O3" s="11" t="s">
        <v>257</v>
      </c>
    </row>
    <row r="5" customFormat="false" ht="15" hidden="false" customHeight="false" outlineLevel="0" collapsed="false">
      <c r="A5" s="12" t="s">
        <v>258</v>
      </c>
      <c r="B5" s="13"/>
      <c r="C5" s="13"/>
      <c r="D5" s="13"/>
      <c r="E5" s="13"/>
      <c r="F5" s="13"/>
      <c r="G5" s="13"/>
      <c r="H5" s="13"/>
      <c r="I5" s="13"/>
      <c r="J5" s="13"/>
      <c r="K5" s="13"/>
      <c r="L5" s="13"/>
      <c r="M5" s="13"/>
      <c r="N5" s="13"/>
      <c r="O5" s="13"/>
    </row>
    <row r="6" customFormat="false" ht="15" hidden="false" customHeight="false" outlineLevel="0" collapsed="false">
      <c r="A6" s="10" t="s">
        <v>259</v>
      </c>
      <c r="B6" s="7" t="s">
        <v>260</v>
      </c>
      <c r="C6" s="17" t="n">
        <f aca="false">C59</f>
        <v>14</v>
      </c>
      <c r="D6" s="18" t="n">
        <v>6</v>
      </c>
      <c r="E6" s="18" t="n">
        <v>10</v>
      </c>
      <c r="F6" s="17" t="n">
        <f aca="false">E6</f>
        <v>10</v>
      </c>
      <c r="G6" s="18" t="n">
        <v>12</v>
      </c>
      <c r="H6" s="17" t="n">
        <f aca="false">G6</f>
        <v>12</v>
      </c>
      <c r="I6" s="17" t="n">
        <f aca="false">H6</f>
        <v>12</v>
      </c>
      <c r="J6" s="17" t="n">
        <f aca="false">I6</f>
        <v>12</v>
      </c>
      <c r="K6" s="17" t="n">
        <f aca="false">J6</f>
        <v>12</v>
      </c>
      <c r="L6" s="17" t="n">
        <f aca="false">K6</f>
        <v>12</v>
      </c>
      <c r="M6" s="17" t="n">
        <f aca="false">L6</f>
        <v>12</v>
      </c>
      <c r="N6" s="10" t="s">
        <v>261</v>
      </c>
      <c r="O6" s="10" t="s">
        <v>262</v>
      </c>
    </row>
    <row r="7" customFormat="false" ht="15" hidden="false" customHeight="false" outlineLevel="0" collapsed="false">
      <c r="A7" s="10" t="s">
        <v>259</v>
      </c>
      <c r="B7" s="7" t="s">
        <v>263</v>
      </c>
      <c r="C7" s="17" t="n">
        <f aca="false">C60</f>
        <v>64</v>
      </c>
      <c r="D7" s="18" t="n">
        <v>70</v>
      </c>
      <c r="E7" s="18" t="n">
        <v>50</v>
      </c>
      <c r="F7" s="18" t="n">
        <v>40</v>
      </c>
      <c r="G7" s="18" t="n">
        <v>30</v>
      </c>
      <c r="H7" s="18" t="n">
        <v>25</v>
      </c>
      <c r="I7" s="18" t="n">
        <v>20</v>
      </c>
      <c r="J7" s="17" t="n">
        <f aca="false">I7</f>
        <v>20</v>
      </c>
      <c r="K7" s="17" t="n">
        <f aca="false">J7</f>
        <v>20</v>
      </c>
      <c r="L7" s="17" t="n">
        <f aca="false">K7</f>
        <v>20</v>
      </c>
      <c r="M7" s="17" t="n">
        <f aca="false">L7</f>
        <v>20</v>
      </c>
      <c r="N7" s="10" t="s">
        <v>261</v>
      </c>
      <c r="O7" s="10" t="s">
        <v>264</v>
      </c>
    </row>
    <row r="8" customFormat="false" ht="15" hidden="false" customHeight="false" outlineLevel="0" collapsed="false">
      <c r="A8" s="10" t="s">
        <v>259</v>
      </c>
      <c r="B8" s="7" t="s">
        <v>265</v>
      </c>
      <c r="C8" s="19" t="n">
        <v>0.012</v>
      </c>
      <c r="D8" s="19" t="n">
        <v>0.015</v>
      </c>
      <c r="E8" s="19" t="n">
        <v>0.02</v>
      </c>
      <c r="F8" s="20" t="n">
        <f aca="false">E8</f>
        <v>0.02</v>
      </c>
      <c r="G8" s="20" t="n">
        <f aca="false">F8</f>
        <v>0.02</v>
      </c>
      <c r="H8" s="20" t="n">
        <f aca="false">G8</f>
        <v>0.02</v>
      </c>
      <c r="I8" s="20" t="n">
        <f aca="false">H8</f>
        <v>0.02</v>
      </c>
      <c r="J8" s="20" t="n">
        <f aca="false">I8</f>
        <v>0.02</v>
      </c>
      <c r="K8" s="20" t="n">
        <f aca="false">J8</f>
        <v>0.02</v>
      </c>
      <c r="L8" s="20" t="n">
        <f aca="false">K8</f>
        <v>0.02</v>
      </c>
      <c r="M8" s="20" t="n">
        <f aca="false">L8</f>
        <v>0.02</v>
      </c>
      <c r="N8" s="10" t="s">
        <v>266</v>
      </c>
      <c r="O8" s="10" t="s">
        <v>267</v>
      </c>
    </row>
    <row r="9" customFormat="false" ht="15" hidden="false" customHeight="false" outlineLevel="0" collapsed="false">
      <c r="A9" s="10" t="s">
        <v>259</v>
      </c>
      <c r="B9" s="7" t="s">
        <v>78</v>
      </c>
      <c r="D9" s="19" t="n">
        <v>0.03</v>
      </c>
      <c r="E9" s="19" t="n">
        <v>0.04</v>
      </c>
      <c r="F9" s="20" t="n">
        <f aca="false">E9</f>
        <v>0.04</v>
      </c>
      <c r="G9" s="20" t="n">
        <f aca="false">F9</f>
        <v>0.04</v>
      </c>
      <c r="H9" s="20" t="n">
        <f aca="false">G9</f>
        <v>0.04</v>
      </c>
      <c r="I9" s="20" t="n">
        <f aca="false">H9</f>
        <v>0.04</v>
      </c>
      <c r="J9" s="20" t="n">
        <f aca="false">I9</f>
        <v>0.04</v>
      </c>
      <c r="K9" s="20" t="n">
        <f aca="false">J9</f>
        <v>0.04</v>
      </c>
      <c r="L9" s="20" t="n">
        <f aca="false">K9</f>
        <v>0.04</v>
      </c>
      <c r="M9" s="20" t="n">
        <f aca="false">L9</f>
        <v>0.04</v>
      </c>
      <c r="N9" s="10" t="s">
        <v>266</v>
      </c>
      <c r="O9" s="10" t="s">
        <v>268</v>
      </c>
    </row>
    <row r="10" customFormat="false" ht="15" hidden="false" customHeight="false" outlineLevel="0" collapsed="false">
      <c r="A10" s="10" t="s">
        <v>259</v>
      </c>
      <c r="B10" s="7" t="s">
        <v>269</v>
      </c>
      <c r="C10" s="20" t="n">
        <f aca="false">IF(C66+C67=0,0,C68/(C66+C67))</f>
        <v>0.1356270968663</v>
      </c>
      <c r="D10" s="19" t="n">
        <v>0.138</v>
      </c>
      <c r="E10" s="19" t="n">
        <v>0.14</v>
      </c>
      <c r="F10" s="20" t="n">
        <f aca="false">E10</f>
        <v>0.14</v>
      </c>
      <c r="G10" s="20" t="n">
        <f aca="false">F10</f>
        <v>0.14</v>
      </c>
      <c r="H10" s="20" t="n">
        <f aca="false">G10</f>
        <v>0.14</v>
      </c>
      <c r="I10" s="20" t="n">
        <f aca="false">H10</f>
        <v>0.14</v>
      </c>
      <c r="J10" s="20" t="n">
        <f aca="false">I10</f>
        <v>0.14</v>
      </c>
      <c r="K10" s="20" t="n">
        <f aca="false">J10</f>
        <v>0.14</v>
      </c>
      <c r="L10" s="20" t="n">
        <f aca="false">K10</f>
        <v>0.14</v>
      </c>
      <c r="M10" s="20" t="n">
        <f aca="false">L10</f>
        <v>0.14</v>
      </c>
      <c r="N10" s="10" t="s">
        <v>270</v>
      </c>
      <c r="O10" s="10" t="s">
        <v>271</v>
      </c>
    </row>
    <row r="11" customFormat="false" ht="15" hidden="false" customHeight="false" outlineLevel="0" collapsed="false">
      <c r="A11" s="10" t="s">
        <v>259</v>
      </c>
      <c r="B11" s="7" t="s">
        <v>272</v>
      </c>
      <c r="D11" s="19" t="n">
        <v>0</v>
      </c>
      <c r="E11" s="20" t="n">
        <f aca="false">D11</f>
        <v>0</v>
      </c>
      <c r="F11" s="20" t="n">
        <f aca="false">E11</f>
        <v>0</v>
      </c>
      <c r="G11" s="20" t="n">
        <f aca="false">F11</f>
        <v>0</v>
      </c>
      <c r="H11" s="20" t="n">
        <f aca="false">G11</f>
        <v>0</v>
      </c>
      <c r="I11" s="20" t="n">
        <f aca="false">H11</f>
        <v>0</v>
      </c>
      <c r="J11" s="20" t="n">
        <f aca="false">I11</f>
        <v>0</v>
      </c>
      <c r="K11" s="20" t="n">
        <f aca="false">J11</f>
        <v>0</v>
      </c>
      <c r="L11" s="20" t="n">
        <f aca="false">K11</f>
        <v>0</v>
      </c>
      <c r="M11" s="20" t="n">
        <f aca="false">L11</f>
        <v>0</v>
      </c>
      <c r="N11" s="10" t="s">
        <v>266</v>
      </c>
      <c r="O11" s="10" t="s">
        <v>273</v>
      </c>
    </row>
    <row r="12" customFormat="false" ht="15" hidden="false" customHeight="false" outlineLevel="0" collapsed="false">
      <c r="A12" s="10" t="s">
        <v>259</v>
      </c>
      <c r="B12" s="7" t="s">
        <v>274</v>
      </c>
      <c r="C12" s="20" t="n">
        <f aca="false">IF(C70=0,0,C72/C70)</f>
        <v>0.597696272550129</v>
      </c>
      <c r="D12" s="19" t="n">
        <v>0.593</v>
      </c>
      <c r="E12" s="20" t="n">
        <f aca="false">D12</f>
        <v>0.593</v>
      </c>
      <c r="F12" s="20" t="n">
        <f aca="false">E12</f>
        <v>0.593</v>
      </c>
      <c r="G12" s="20" t="n">
        <f aca="false">F12</f>
        <v>0.593</v>
      </c>
      <c r="H12" s="20" t="n">
        <f aca="false">G12</f>
        <v>0.593</v>
      </c>
      <c r="I12" s="20" t="n">
        <f aca="false">H12</f>
        <v>0.593</v>
      </c>
      <c r="J12" s="20" t="n">
        <f aca="false">I12</f>
        <v>0.593</v>
      </c>
      <c r="K12" s="20" t="n">
        <f aca="false">J12</f>
        <v>0.593</v>
      </c>
      <c r="L12" s="20" t="n">
        <f aca="false">K12</f>
        <v>0.593</v>
      </c>
      <c r="M12" s="20" t="n">
        <f aca="false">L12</f>
        <v>0.593</v>
      </c>
      <c r="N12" s="10" t="s">
        <v>275</v>
      </c>
      <c r="O12" s="10" t="s">
        <v>276</v>
      </c>
    </row>
    <row r="13" customFormat="false" ht="15" hidden="false" customHeight="false" outlineLevel="0" collapsed="false">
      <c r="A13" s="10" t="s">
        <v>259</v>
      </c>
      <c r="B13" s="7" t="s">
        <v>277</v>
      </c>
      <c r="C13" s="20" t="n">
        <f aca="false">IF(C70=0,0,C75/C70)</f>
        <v>0.199996857124898</v>
      </c>
      <c r="D13" s="19" t="n">
        <v>0.2</v>
      </c>
      <c r="E13" s="20" t="n">
        <f aca="false">D13</f>
        <v>0.2</v>
      </c>
      <c r="F13" s="20" t="n">
        <f aca="false">E13</f>
        <v>0.2</v>
      </c>
      <c r="G13" s="20" t="n">
        <f aca="false">F13</f>
        <v>0.2</v>
      </c>
      <c r="H13" s="20" t="n">
        <f aca="false">G13</f>
        <v>0.2</v>
      </c>
      <c r="I13" s="20" t="n">
        <f aca="false">H13</f>
        <v>0.2</v>
      </c>
      <c r="J13" s="20" t="n">
        <f aca="false">I13</f>
        <v>0.2</v>
      </c>
      <c r="K13" s="20" t="n">
        <f aca="false">J13</f>
        <v>0.2</v>
      </c>
      <c r="L13" s="20" t="n">
        <f aca="false">K13</f>
        <v>0.2</v>
      </c>
      <c r="M13" s="20" t="n">
        <f aca="false">L13</f>
        <v>0.2</v>
      </c>
      <c r="N13" s="10" t="s">
        <v>275</v>
      </c>
      <c r="O13" s="10" t="s">
        <v>278</v>
      </c>
    </row>
    <row r="14" customFormat="false" ht="15" hidden="false" customHeight="false" outlineLevel="0" collapsed="false">
      <c r="A14" s="10" t="s">
        <v>259</v>
      </c>
      <c r="B14" s="7" t="s">
        <v>279</v>
      </c>
      <c r="D14" s="19" t="n">
        <v>0.025</v>
      </c>
      <c r="E14" s="19" t="n">
        <v>0.023</v>
      </c>
      <c r="F14" s="19" t="n">
        <v>0.021</v>
      </c>
      <c r="G14" s="19" t="n">
        <v>0.02</v>
      </c>
      <c r="H14" s="20" t="n">
        <f aca="false">G14</f>
        <v>0.02</v>
      </c>
      <c r="I14" s="20" t="n">
        <f aca="false">H14</f>
        <v>0.02</v>
      </c>
      <c r="J14" s="20" t="n">
        <f aca="false">I14</f>
        <v>0.02</v>
      </c>
      <c r="K14" s="20" t="n">
        <f aca="false">J14</f>
        <v>0.02</v>
      </c>
      <c r="L14" s="20" t="n">
        <f aca="false">K14</f>
        <v>0.02</v>
      </c>
      <c r="M14" s="20" t="n">
        <f aca="false">L14</f>
        <v>0.02</v>
      </c>
      <c r="N14" s="10" t="s">
        <v>266</v>
      </c>
      <c r="O14" s="10" t="s">
        <v>280</v>
      </c>
    </row>
    <row r="15" customFormat="false" ht="15" hidden="false" customHeight="false" outlineLevel="0" collapsed="false">
      <c r="A15" s="10" t="s">
        <v>259</v>
      </c>
      <c r="B15" s="7" t="s">
        <v>281</v>
      </c>
      <c r="D15" s="21" t="n">
        <v>0</v>
      </c>
      <c r="E15" s="22" t="n">
        <f aca="false">D15</f>
        <v>0</v>
      </c>
      <c r="F15" s="22" t="n">
        <f aca="false">E15</f>
        <v>0</v>
      </c>
      <c r="G15" s="22" t="n">
        <f aca="false">F15</f>
        <v>0</v>
      </c>
      <c r="H15" s="22" t="n">
        <f aca="false">G15</f>
        <v>0</v>
      </c>
      <c r="I15" s="22" t="n">
        <f aca="false">H15</f>
        <v>0</v>
      </c>
      <c r="J15" s="22" t="n">
        <f aca="false">I15</f>
        <v>0</v>
      </c>
      <c r="K15" s="22" t="n">
        <f aca="false">J15</f>
        <v>0</v>
      </c>
      <c r="L15" s="22" t="n">
        <f aca="false">K15</f>
        <v>0</v>
      </c>
      <c r="M15" s="22" t="n">
        <f aca="false">L15</f>
        <v>0</v>
      </c>
      <c r="N15" s="10" t="s">
        <v>282</v>
      </c>
      <c r="O15" s="10" t="s">
        <v>283</v>
      </c>
    </row>
    <row r="16" customFormat="false" ht="15" hidden="false" customHeight="false" outlineLevel="0" collapsed="false">
      <c r="A16" s="10" t="s">
        <v>259</v>
      </c>
      <c r="B16" s="7" t="s">
        <v>284</v>
      </c>
      <c r="C16" s="22" t="n">
        <f aca="false">C79</f>
        <v>-103.3</v>
      </c>
      <c r="D16" s="21" t="n">
        <v>30</v>
      </c>
      <c r="E16" s="21" t="n">
        <v>0</v>
      </c>
      <c r="F16" s="22" t="n">
        <f aca="false">E16</f>
        <v>0</v>
      </c>
      <c r="G16" s="22" t="n">
        <f aca="false">F16</f>
        <v>0</v>
      </c>
      <c r="H16" s="22" t="n">
        <f aca="false">G16</f>
        <v>0</v>
      </c>
      <c r="I16" s="22" t="n">
        <f aca="false">H16</f>
        <v>0</v>
      </c>
      <c r="J16" s="22" t="n">
        <f aca="false">I16</f>
        <v>0</v>
      </c>
      <c r="K16" s="22" t="n">
        <f aca="false">J16</f>
        <v>0</v>
      </c>
      <c r="L16" s="22" t="n">
        <f aca="false">K16</f>
        <v>0</v>
      </c>
      <c r="M16" s="22" t="n">
        <f aca="false">L16</f>
        <v>0</v>
      </c>
      <c r="N16" s="10" t="s">
        <v>282</v>
      </c>
      <c r="O16" s="10" t="s">
        <v>285</v>
      </c>
    </row>
    <row r="17" customFormat="false" ht="15" hidden="false" customHeight="false" outlineLevel="0" collapsed="false">
      <c r="A17" s="10" t="s">
        <v>259</v>
      </c>
      <c r="B17" s="7" t="s">
        <v>286</v>
      </c>
      <c r="D17" s="19" t="n">
        <v>0.007</v>
      </c>
      <c r="E17" s="20" t="n">
        <f aca="false">D17</f>
        <v>0.007</v>
      </c>
      <c r="F17" s="20" t="n">
        <f aca="false">E17</f>
        <v>0.007</v>
      </c>
      <c r="G17" s="20" t="n">
        <f aca="false">F17</f>
        <v>0.007</v>
      </c>
      <c r="H17" s="20" t="n">
        <f aca="false">G17</f>
        <v>0.007</v>
      </c>
      <c r="I17" s="20" t="n">
        <f aca="false">H17</f>
        <v>0.007</v>
      </c>
      <c r="J17" s="20" t="n">
        <f aca="false">I17</f>
        <v>0.007</v>
      </c>
      <c r="K17" s="20" t="n">
        <f aca="false">J17</f>
        <v>0.007</v>
      </c>
      <c r="L17" s="20" t="n">
        <f aca="false">K17</f>
        <v>0.007</v>
      </c>
      <c r="M17" s="20" t="n">
        <f aca="false">L17</f>
        <v>0.007</v>
      </c>
      <c r="N17" s="10" t="s">
        <v>287</v>
      </c>
      <c r="O17" s="10" t="s">
        <v>288</v>
      </c>
    </row>
    <row r="18" customFormat="false" ht="15" hidden="false" customHeight="false" outlineLevel="0" collapsed="false">
      <c r="A18" s="10" t="s">
        <v>259</v>
      </c>
      <c r="B18" s="7" t="s">
        <v>289</v>
      </c>
      <c r="D18" s="19" t="n">
        <v>0.065</v>
      </c>
      <c r="E18" s="20" t="n">
        <f aca="false">D18</f>
        <v>0.065</v>
      </c>
      <c r="F18" s="20" t="n">
        <f aca="false">E18</f>
        <v>0.065</v>
      </c>
      <c r="G18" s="20" t="n">
        <f aca="false">F18</f>
        <v>0.065</v>
      </c>
      <c r="H18" s="20" t="n">
        <f aca="false">G18</f>
        <v>0.065</v>
      </c>
      <c r="I18" s="20" t="n">
        <f aca="false">H18</f>
        <v>0.065</v>
      </c>
      <c r="J18" s="20" t="n">
        <f aca="false">I18</f>
        <v>0.065</v>
      </c>
      <c r="K18" s="20" t="n">
        <f aca="false">J18</f>
        <v>0.065</v>
      </c>
      <c r="L18" s="20" t="n">
        <f aca="false">K18</f>
        <v>0.065</v>
      </c>
      <c r="M18" s="20" t="n">
        <f aca="false">L18</f>
        <v>0.065</v>
      </c>
      <c r="N18" s="10" t="s">
        <v>290</v>
      </c>
      <c r="O18" s="10" t="s">
        <v>291</v>
      </c>
    </row>
    <row r="19" customFormat="false" ht="15" hidden="false" customHeight="false" outlineLevel="0" collapsed="false">
      <c r="A19" s="10" t="s">
        <v>259</v>
      </c>
      <c r="B19" s="7" t="s">
        <v>133</v>
      </c>
      <c r="C19" s="20" t="n">
        <f aca="false">IF(C84=0,0,C86/C84)</f>
        <v>0.260441723157664</v>
      </c>
      <c r="D19" s="19" t="n">
        <v>0.24</v>
      </c>
      <c r="E19" s="20" t="n">
        <f aca="false">D19</f>
        <v>0.24</v>
      </c>
      <c r="F19" s="20" t="n">
        <f aca="false">E19</f>
        <v>0.24</v>
      </c>
      <c r="G19" s="20" t="n">
        <f aca="false">F19</f>
        <v>0.24</v>
      </c>
      <c r="H19" s="20" t="n">
        <f aca="false">G19</f>
        <v>0.24</v>
      </c>
      <c r="I19" s="20" t="n">
        <f aca="false">H19</f>
        <v>0.24</v>
      </c>
      <c r="J19" s="20" t="n">
        <f aca="false">I19</f>
        <v>0.24</v>
      </c>
      <c r="K19" s="20" t="n">
        <f aca="false">J19</f>
        <v>0.24</v>
      </c>
      <c r="L19" s="20" t="n">
        <f aca="false">K19</f>
        <v>0.24</v>
      </c>
      <c r="M19" s="20" t="n">
        <f aca="false">L19</f>
        <v>0.24</v>
      </c>
      <c r="N19" s="10" t="s">
        <v>292</v>
      </c>
      <c r="O19" s="10" t="s">
        <v>293</v>
      </c>
    </row>
    <row r="20" customFormat="false" ht="15" hidden="false" customHeight="false" outlineLevel="0" collapsed="false">
      <c r="A20" s="10" t="s">
        <v>259</v>
      </c>
      <c r="B20" s="7" t="s">
        <v>294</v>
      </c>
      <c r="D20" s="19" t="n">
        <v>0.105</v>
      </c>
      <c r="N20" s="10" t="s">
        <v>266</v>
      </c>
      <c r="O20" s="10" t="s">
        <v>295</v>
      </c>
    </row>
    <row r="22" customFormat="false" ht="15" hidden="false" customHeight="false" outlineLevel="0" collapsed="false">
      <c r="A22" s="12" t="s">
        <v>296</v>
      </c>
      <c r="B22" s="13"/>
      <c r="C22" s="13"/>
      <c r="D22" s="13"/>
      <c r="E22" s="13"/>
      <c r="F22" s="13"/>
      <c r="G22" s="13"/>
      <c r="H22" s="13"/>
      <c r="I22" s="13"/>
      <c r="J22" s="13"/>
      <c r="K22" s="13"/>
      <c r="L22" s="13"/>
      <c r="M22" s="13"/>
      <c r="N22" s="13"/>
      <c r="O22" s="13"/>
    </row>
    <row r="23" customFormat="false" ht="15" hidden="false" customHeight="false" outlineLevel="0" collapsed="false">
      <c r="A23" s="10" t="s">
        <v>297</v>
      </c>
      <c r="B23" s="7" t="s">
        <v>298</v>
      </c>
      <c r="D23" s="18" t="n">
        <v>0</v>
      </c>
      <c r="E23" s="18" t="n">
        <v>0</v>
      </c>
      <c r="F23" s="18" t="n">
        <v>0</v>
      </c>
      <c r="G23" s="18" t="n">
        <v>0</v>
      </c>
      <c r="H23" s="18" t="n">
        <v>0</v>
      </c>
      <c r="I23" s="18" t="n">
        <v>0</v>
      </c>
      <c r="J23" s="18" t="n">
        <v>0</v>
      </c>
      <c r="K23" s="18" t="n">
        <v>0</v>
      </c>
      <c r="L23" s="18" t="n">
        <v>0</v>
      </c>
      <c r="M23" s="18" t="n">
        <v>0</v>
      </c>
      <c r="N23" s="10" t="s">
        <v>261</v>
      </c>
    </row>
    <row r="24" customFormat="false" ht="15" hidden="false" customHeight="false" outlineLevel="0" collapsed="false">
      <c r="A24" s="10" t="s">
        <v>297</v>
      </c>
      <c r="B24" s="7" t="s">
        <v>299</v>
      </c>
      <c r="D24" s="18" t="n">
        <v>0</v>
      </c>
      <c r="E24" s="18" t="n">
        <v>0</v>
      </c>
      <c r="F24" s="18" t="n">
        <v>0</v>
      </c>
      <c r="G24" s="18" t="n">
        <v>0</v>
      </c>
      <c r="H24" s="18" t="n">
        <v>0</v>
      </c>
      <c r="I24" s="18" t="n">
        <v>0</v>
      </c>
      <c r="J24" s="18" t="n">
        <v>0</v>
      </c>
      <c r="K24" s="18" t="n">
        <v>0</v>
      </c>
      <c r="L24" s="18" t="n">
        <v>0</v>
      </c>
      <c r="M24" s="18" t="n">
        <v>0</v>
      </c>
      <c r="N24" s="10" t="s">
        <v>261</v>
      </c>
    </row>
    <row r="25" customFormat="false" ht="15" hidden="false" customHeight="false" outlineLevel="0" collapsed="false">
      <c r="A25" s="10" t="s">
        <v>297</v>
      </c>
      <c r="B25" s="7" t="s">
        <v>300</v>
      </c>
      <c r="D25" s="19" t="n">
        <v>0</v>
      </c>
      <c r="E25" s="19" t="n">
        <v>0</v>
      </c>
      <c r="F25" s="19" t="n">
        <v>0</v>
      </c>
      <c r="G25" s="19" t="n">
        <v>0</v>
      </c>
      <c r="H25" s="19" t="n">
        <v>0</v>
      </c>
      <c r="I25" s="19" t="n">
        <v>0</v>
      </c>
      <c r="J25" s="19" t="n">
        <v>0</v>
      </c>
      <c r="K25" s="19" t="n">
        <v>0</v>
      </c>
      <c r="L25" s="19" t="n">
        <v>0</v>
      </c>
      <c r="M25" s="19" t="n">
        <v>0</v>
      </c>
      <c r="N25" s="10" t="s">
        <v>266</v>
      </c>
    </row>
    <row r="26" customFormat="false" ht="15" hidden="false" customHeight="false" outlineLevel="0" collapsed="false">
      <c r="A26" s="10" t="s">
        <v>297</v>
      </c>
      <c r="B26" s="7" t="s">
        <v>301</v>
      </c>
      <c r="D26" s="19" t="n">
        <v>0</v>
      </c>
      <c r="E26" s="19" t="n">
        <v>0</v>
      </c>
      <c r="F26" s="19" t="n">
        <v>0</v>
      </c>
      <c r="G26" s="19" t="n">
        <v>0</v>
      </c>
      <c r="H26" s="19" t="n">
        <v>0</v>
      </c>
      <c r="I26" s="19" t="n">
        <v>0</v>
      </c>
      <c r="J26" s="19" t="n">
        <v>0</v>
      </c>
      <c r="K26" s="19" t="n">
        <v>0</v>
      </c>
      <c r="L26" s="19" t="n">
        <v>0</v>
      </c>
      <c r="M26" s="19" t="n">
        <v>0</v>
      </c>
      <c r="N26" s="10" t="s">
        <v>266</v>
      </c>
    </row>
    <row r="27" customFormat="false" ht="15" hidden="false" customHeight="false" outlineLevel="0" collapsed="false">
      <c r="A27" s="10" t="s">
        <v>297</v>
      </c>
      <c r="B27" s="7" t="s">
        <v>302</v>
      </c>
      <c r="D27" s="19" t="n">
        <v>0</v>
      </c>
      <c r="E27" s="19" t="n">
        <v>0</v>
      </c>
      <c r="F27" s="19" t="n">
        <v>0</v>
      </c>
      <c r="G27" s="19" t="n">
        <v>0</v>
      </c>
      <c r="H27" s="19" t="n">
        <v>0</v>
      </c>
      <c r="I27" s="19" t="n">
        <v>0</v>
      </c>
      <c r="J27" s="19" t="n">
        <v>0</v>
      </c>
      <c r="K27" s="19" t="n">
        <v>0</v>
      </c>
      <c r="L27" s="19" t="n">
        <v>0</v>
      </c>
      <c r="M27" s="19" t="n">
        <v>0</v>
      </c>
      <c r="N27" s="10" t="s">
        <v>270</v>
      </c>
    </row>
    <row r="28" customFormat="false" ht="15" hidden="false" customHeight="false" outlineLevel="0" collapsed="false">
      <c r="A28" s="10" t="s">
        <v>297</v>
      </c>
      <c r="B28" s="7" t="s">
        <v>303</v>
      </c>
      <c r="D28" s="19" t="n">
        <v>0</v>
      </c>
      <c r="E28" s="19" t="n">
        <v>0</v>
      </c>
      <c r="F28" s="19" t="n">
        <v>0</v>
      </c>
      <c r="G28" s="19" t="n">
        <v>0</v>
      </c>
      <c r="H28" s="19" t="n">
        <v>0</v>
      </c>
      <c r="I28" s="19" t="n">
        <v>0</v>
      </c>
      <c r="J28" s="19" t="n">
        <v>0</v>
      </c>
      <c r="K28" s="19" t="n">
        <v>0</v>
      </c>
      <c r="L28" s="19" t="n">
        <v>0</v>
      </c>
      <c r="M28" s="19" t="n">
        <v>0</v>
      </c>
      <c r="N28" s="10" t="s">
        <v>266</v>
      </c>
    </row>
    <row r="29" customFormat="false" ht="15" hidden="false" customHeight="false" outlineLevel="0" collapsed="false">
      <c r="A29" s="10" t="s">
        <v>297</v>
      </c>
      <c r="B29" s="7" t="s">
        <v>304</v>
      </c>
      <c r="D29" s="19" t="n">
        <v>0</v>
      </c>
      <c r="E29" s="19" t="n">
        <v>0</v>
      </c>
      <c r="F29" s="19" t="n">
        <v>0</v>
      </c>
      <c r="G29" s="19" t="n">
        <v>0</v>
      </c>
      <c r="H29" s="19" t="n">
        <v>0</v>
      </c>
      <c r="I29" s="19" t="n">
        <v>0</v>
      </c>
      <c r="J29" s="19" t="n">
        <v>0</v>
      </c>
      <c r="K29" s="19" t="n">
        <v>0</v>
      </c>
      <c r="L29" s="19" t="n">
        <v>0</v>
      </c>
      <c r="M29" s="19" t="n">
        <v>0</v>
      </c>
      <c r="N29" s="10" t="s">
        <v>275</v>
      </c>
    </row>
    <row r="30" customFormat="false" ht="15" hidden="false" customHeight="false" outlineLevel="0" collapsed="false">
      <c r="A30" s="10" t="s">
        <v>297</v>
      </c>
      <c r="B30" s="7" t="s">
        <v>305</v>
      </c>
      <c r="D30" s="19" t="n">
        <v>0</v>
      </c>
      <c r="E30" s="19" t="n">
        <v>0</v>
      </c>
      <c r="F30" s="19" t="n">
        <v>0</v>
      </c>
      <c r="G30" s="19" t="n">
        <v>0</v>
      </c>
      <c r="H30" s="19" t="n">
        <v>0</v>
      </c>
      <c r="I30" s="19" t="n">
        <v>0</v>
      </c>
      <c r="J30" s="19" t="n">
        <v>0</v>
      </c>
      <c r="K30" s="19" t="n">
        <v>0</v>
      </c>
      <c r="L30" s="19" t="n">
        <v>0</v>
      </c>
      <c r="M30" s="19" t="n">
        <v>0</v>
      </c>
      <c r="N30" s="10" t="s">
        <v>275</v>
      </c>
    </row>
    <row r="31" customFormat="false" ht="15" hidden="false" customHeight="false" outlineLevel="0" collapsed="false">
      <c r="A31" s="10" t="s">
        <v>297</v>
      </c>
      <c r="B31" s="7" t="s">
        <v>306</v>
      </c>
      <c r="D31" s="19" t="n">
        <v>0</v>
      </c>
      <c r="E31" s="19" t="n">
        <v>0</v>
      </c>
      <c r="F31" s="19" t="n">
        <v>0</v>
      </c>
      <c r="G31" s="19" t="n">
        <v>0</v>
      </c>
      <c r="H31" s="19" t="n">
        <v>0</v>
      </c>
      <c r="I31" s="19" t="n">
        <v>0</v>
      </c>
      <c r="J31" s="19" t="n">
        <v>0</v>
      </c>
      <c r="K31" s="19" t="n">
        <v>0</v>
      </c>
      <c r="L31" s="19" t="n">
        <v>0</v>
      </c>
      <c r="M31" s="19" t="n">
        <v>0</v>
      </c>
      <c r="N31" s="10" t="s">
        <v>266</v>
      </c>
    </row>
    <row r="32" customFormat="false" ht="15" hidden="false" customHeight="false" outlineLevel="0" collapsed="false">
      <c r="A32" s="10" t="s">
        <v>297</v>
      </c>
      <c r="B32" s="7" t="s">
        <v>307</v>
      </c>
      <c r="D32" s="21" t="n">
        <v>0</v>
      </c>
      <c r="E32" s="21" t="n">
        <v>0</v>
      </c>
      <c r="F32" s="21" t="n">
        <v>0</v>
      </c>
      <c r="G32" s="21" t="n">
        <v>0</v>
      </c>
      <c r="H32" s="21" t="n">
        <v>0</v>
      </c>
      <c r="I32" s="21" t="n">
        <v>0</v>
      </c>
      <c r="J32" s="21" t="n">
        <v>0</v>
      </c>
      <c r="K32" s="21" t="n">
        <v>0</v>
      </c>
      <c r="L32" s="21" t="n">
        <v>0</v>
      </c>
      <c r="M32" s="21" t="n">
        <v>0</v>
      </c>
      <c r="N32" s="10" t="s">
        <v>282</v>
      </c>
    </row>
    <row r="33" customFormat="false" ht="15" hidden="false" customHeight="false" outlineLevel="0" collapsed="false">
      <c r="A33" s="10" t="s">
        <v>297</v>
      </c>
      <c r="B33" s="7" t="s">
        <v>308</v>
      </c>
      <c r="D33" s="21" t="n">
        <v>0</v>
      </c>
      <c r="E33" s="21" t="n">
        <v>0</v>
      </c>
      <c r="F33" s="21" t="n">
        <v>0</v>
      </c>
      <c r="G33" s="21" t="n">
        <v>0</v>
      </c>
      <c r="H33" s="21" t="n">
        <v>0</v>
      </c>
      <c r="I33" s="21" t="n">
        <v>0</v>
      </c>
      <c r="J33" s="21" t="n">
        <v>0</v>
      </c>
      <c r="K33" s="21" t="n">
        <v>0</v>
      </c>
      <c r="L33" s="21" t="n">
        <v>0</v>
      </c>
      <c r="M33" s="21" t="n">
        <v>0</v>
      </c>
      <c r="N33" s="10" t="s">
        <v>282</v>
      </c>
    </row>
    <row r="34" customFormat="false" ht="15" hidden="false" customHeight="false" outlineLevel="0" collapsed="false">
      <c r="A34" s="10" t="s">
        <v>297</v>
      </c>
      <c r="B34" s="7" t="s">
        <v>309</v>
      </c>
      <c r="D34" s="19" t="n">
        <v>0</v>
      </c>
      <c r="E34" s="19" t="n">
        <v>0</v>
      </c>
      <c r="F34" s="19" t="n">
        <v>0</v>
      </c>
      <c r="G34" s="19" t="n">
        <v>0</v>
      </c>
      <c r="H34" s="19" t="n">
        <v>0</v>
      </c>
      <c r="I34" s="19" t="n">
        <v>0</v>
      </c>
      <c r="J34" s="19" t="n">
        <v>0</v>
      </c>
      <c r="K34" s="19" t="n">
        <v>0</v>
      </c>
      <c r="L34" s="19" t="n">
        <v>0</v>
      </c>
      <c r="M34" s="19" t="n">
        <v>0</v>
      </c>
      <c r="N34" s="10" t="s">
        <v>287</v>
      </c>
    </row>
    <row r="35" customFormat="false" ht="15" hidden="false" customHeight="false" outlineLevel="0" collapsed="false">
      <c r="A35" s="10" t="s">
        <v>297</v>
      </c>
      <c r="B35" s="7" t="s">
        <v>310</v>
      </c>
      <c r="D35" s="19" t="n">
        <v>0</v>
      </c>
      <c r="E35" s="19" t="n">
        <v>0</v>
      </c>
      <c r="F35" s="19" t="n">
        <v>0</v>
      </c>
      <c r="G35" s="19" t="n">
        <v>0</v>
      </c>
      <c r="H35" s="19" t="n">
        <v>0</v>
      </c>
      <c r="I35" s="19" t="n">
        <v>0</v>
      </c>
      <c r="J35" s="19" t="n">
        <v>0</v>
      </c>
      <c r="K35" s="19" t="n">
        <v>0</v>
      </c>
      <c r="L35" s="19" t="n">
        <v>0</v>
      </c>
      <c r="M35" s="19" t="n">
        <v>0</v>
      </c>
      <c r="N35" s="10" t="s">
        <v>290</v>
      </c>
    </row>
    <row r="36" customFormat="false" ht="15" hidden="false" customHeight="false" outlineLevel="0" collapsed="false">
      <c r="A36" s="10" t="s">
        <v>297</v>
      </c>
      <c r="B36" s="7" t="s">
        <v>311</v>
      </c>
      <c r="D36" s="19" t="n">
        <v>0</v>
      </c>
      <c r="E36" s="19" t="n">
        <v>0</v>
      </c>
      <c r="F36" s="19" t="n">
        <v>0</v>
      </c>
      <c r="G36" s="19" t="n">
        <v>0</v>
      </c>
      <c r="H36" s="19" t="n">
        <v>0</v>
      </c>
      <c r="I36" s="19" t="n">
        <v>0</v>
      </c>
      <c r="J36" s="19" t="n">
        <v>0</v>
      </c>
      <c r="K36" s="19" t="n">
        <v>0</v>
      </c>
      <c r="L36" s="19" t="n">
        <v>0</v>
      </c>
      <c r="M36" s="19" t="n">
        <v>0</v>
      </c>
      <c r="N36" s="10" t="s">
        <v>292</v>
      </c>
    </row>
    <row r="37" customFormat="false" ht="15" hidden="false" customHeight="false" outlineLevel="0" collapsed="false">
      <c r="A37" s="10" t="s">
        <v>297</v>
      </c>
      <c r="B37" s="7" t="s">
        <v>312</v>
      </c>
      <c r="D37" s="19" t="n">
        <v>0</v>
      </c>
      <c r="N37" s="10" t="s">
        <v>266</v>
      </c>
    </row>
    <row r="39" customFormat="false" ht="15" hidden="false" customHeight="false" outlineLevel="0" collapsed="false">
      <c r="A39" s="12" t="s">
        <v>313</v>
      </c>
      <c r="B39" s="13"/>
      <c r="C39" s="13"/>
      <c r="D39" s="13"/>
      <c r="E39" s="13"/>
      <c r="F39" s="13"/>
      <c r="G39" s="13"/>
      <c r="H39" s="13"/>
      <c r="I39" s="13"/>
      <c r="J39" s="13"/>
      <c r="K39" s="13"/>
      <c r="L39" s="13"/>
      <c r="M39" s="13"/>
      <c r="N39" s="13"/>
      <c r="O39" s="13"/>
    </row>
    <row r="40" customFormat="false" ht="15" hidden="false" customHeight="false" outlineLevel="0" collapsed="false">
      <c r="A40" s="10" t="s">
        <v>314</v>
      </c>
      <c r="B40" s="7" t="s">
        <v>315</v>
      </c>
      <c r="D40" s="17" t="n">
        <f aca="false">D6+D23</f>
        <v>6</v>
      </c>
      <c r="E40" s="17" t="n">
        <f aca="false">E6+E23</f>
        <v>10</v>
      </c>
      <c r="F40" s="17" t="n">
        <f aca="false">F6+F23</f>
        <v>10</v>
      </c>
      <c r="G40" s="17" t="n">
        <f aca="false">G6+G23</f>
        <v>12</v>
      </c>
      <c r="H40" s="17" t="n">
        <f aca="false">H6+H23</f>
        <v>12</v>
      </c>
      <c r="I40" s="17" t="n">
        <f aca="false">I6+I23</f>
        <v>12</v>
      </c>
      <c r="J40" s="17" t="n">
        <f aca="false">J6+J23</f>
        <v>12</v>
      </c>
      <c r="K40" s="17" t="n">
        <f aca="false">K6+K23</f>
        <v>12</v>
      </c>
      <c r="L40" s="17" t="n">
        <f aca="false">L6+L23</f>
        <v>12</v>
      </c>
      <c r="M40" s="17" t="n">
        <f aca="false">M6+M23</f>
        <v>12</v>
      </c>
      <c r="N40" s="10" t="s">
        <v>261</v>
      </c>
    </row>
    <row r="41" customFormat="false" ht="15" hidden="false" customHeight="false" outlineLevel="0" collapsed="false">
      <c r="A41" s="10" t="s">
        <v>314</v>
      </c>
      <c r="B41" s="7" t="s">
        <v>316</v>
      </c>
      <c r="D41" s="17" t="n">
        <f aca="false">D7+D24</f>
        <v>70</v>
      </c>
      <c r="E41" s="17" t="n">
        <f aca="false">E7+E24</f>
        <v>50</v>
      </c>
      <c r="F41" s="17" t="n">
        <f aca="false">F7+F24</f>
        <v>40</v>
      </c>
      <c r="G41" s="17" t="n">
        <f aca="false">G7+G24</f>
        <v>30</v>
      </c>
      <c r="H41" s="17" t="n">
        <f aca="false">H7+H24</f>
        <v>25</v>
      </c>
      <c r="I41" s="17" t="n">
        <f aca="false">I7+I24</f>
        <v>20</v>
      </c>
      <c r="J41" s="17" t="n">
        <f aca="false">J7+J24</f>
        <v>20</v>
      </c>
      <c r="K41" s="17" t="n">
        <f aca="false">K7+K24</f>
        <v>20</v>
      </c>
      <c r="L41" s="17" t="n">
        <f aca="false">L7+L24</f>
        <v>20</v>
      </c>
      <c r="M41" s="17" t="n">
        <f aca="false">M7+M24</f>
        <v>20</v>
      </c>
      <c r="N41" s="10" t="s">
        <v>261</v>
      </c>
    </row>
    <row r="42" customFormat="false" ht="15" hidden="false" customHeight="false" outlineLevel="0" collapsed="false">
      <c r="A42" s="10" t="s">
        <v>314</v>
      </c>
      <c r="B42" s="7" t="s">
        <v>317</v>
      </c>
      <c r="D42" s="20" t="n">
        <f aca="false">D8+D25</f>
        <v>0.015</v>
      </c>
      <c r="E42" s="20" t="n">
        <f aca="false">E8+E25</f>
        <v>0.02</v>
      </c>
      <c r="F42" s="20" t="n">
        <f aca="false">F8+F25</f>
        <v>0.02</v>
      </c>
      <c r="G42" s="20" t="n">
        <f aca="false">G8+G25</f>
        <v>0.02</v>
      </c>
      <c r="H42" s="20" t="n">
        <f aca="false">H8+H25</f>
        <v>0.02</v>
      </c>
      <c r="I42" s="20" t="n">
        <f aca="false">I8+I25</f>
        <v>0.02</v>
      </c>
      <c r="J42" s="20" t="n">
        <f aca="false">J8+J25</f>
        <v>0.02</v>
      </c>
      <c r="K42" s="20" t="n">
        <f aca="false">K8+K25</f>
        <v>0.02</v>
      </c>
      <c r="L42" s="20" t="n">
        <f aca="false">L8+L25</f>
        <v>0.02</v>
      </c>
      <c r="M42" s="20" t="n">
        <f aca="false">M8+M25</f>
        <v>0.02</v>
      </c>
      <c r="N42" s="10" t="s">
        <v>266</v>
      </c>
    </row>
    <row r="43" customFormat="false" ht="15" hidden="false" customHeight="false" outlineLevel="0" collapsed="false">
      <c r="A43" s="10" t="s">
        <v>314</v>
      </c>
      <c r="B43" s="7" t="s">
        <v>318</v>
      </c>
      <c r="D43" s="20" t="n">
        <f aca="false">D9+D26</f>
        <v>0.03</v>
      </c>
      <c r="E43" s="20" t="n">
        <f aca="false">E9+E26</f>
        <v>0.04</v>
      </c>
      <c r="F43" s="20" t="n">
        <f aca="false">F9+F26</f>
        <v>0.04</v>
      </c>
      <c r="G43" s="20" t="n">
        <f aca="false">G9+G26</f>
        <v>0.04</v>
      </c>
      <c r="H43" s="20" t="n">
        <f aca="false">H9+H26</f>
        <v>0.04</v>
      </c>
      <c r="I43" s="20" t="n">
        <f aca="false">I9+I26</f>
        <v>0.04</v>
      </c>
      <c r="J43" s="20" t="n">
        <f aca="false">J9+J26</f>
        <v>0.04</v>
      </c>
      <c r="K43" s="20" t="n">
        <f aca="false">K9+K26</f>
        <v>0.04</v>
      </c>
      <c r="L43" s="20" t="n">
        <f aca="false">L9+L26</f>
        <v>0.04</v>
      </c>
      <c r="M43" s="20" t="n">
        <f aca="false">M9+M26</f>
        <v>0.04</v>
      </c>
      <c r="N43" s="10" t="s">
        <v>266</v>
      </c>
    </row>
    <row r="44" customFormat="false" ht="15" hidden="false" customHeight="false" outlineLevel="0" collapsed="false">
      <c r="A44" s="10" t="s">
        <v>314</v>
      </c>
      <c r="B44" s="7" t="s">
        <v>319</v>
      </c>
      <c r="D44" s="20" t="n">
        <f aca="false">D10+D27</f>
        <v>0.138</v>
      </c>
      <c r="E44" s="20" t="n">
        <f aca="false">E10+E27</f>
        <v>0.14</v>
      </c>
      <c r="F44" s="20" t="n">
        <f aca="false">F10+F27</f>
        <v>0.14</v>
      </c>
      <c r="G44" s="20" t="n">
        <f aca="false">G10+G27</f>
        <v>0.14</v>
      </c>
      <c r="H44" s="20" t="n">
        <f aca="false">H10+H27</f>
        <v>0.14</v>
      </c>
      <c r="I44" s="20" t="n">
        <f aca="false">I10+I27</f>
        <v>0.14</v>
      </c>
      <c r="J44" s="20" t="n">
        <f aca="false">J10+J27</f>
        <v>0.14</v>
      </c>
      <c r="K44" s="20" t="n">
        <f aca="false">K10+K27</f>
        <v>0.14</v>
      </c>
      <c r="L44" s="20" t="n">
        <f aca="false">L10+L27</f>
        <v>0.14</v>
      </c>
      <c r="M44" s="20" t="n">
        <f aca="false">M10+M27</f>
        <v>0.14</v>
      </c>
      <c r="N44" s="10" t="s">
        <v>270</v>
      </c>
    </row>
    <row r="45" customFormat="false" ht="15" hidden="false" customHeight="false" outlineLevel="0" collapsed="false">
      <c r="A45" s="10" t="s">
        <v>314</v>
      </c>
      <c r="B45" s="7" t="s">
        <v>320</v>
      </c>
      <c r="D45" s="20" t="n">
        <f aca="false">D11+D28</f>
        <v>0</v>
      </c>
      <c r="E45" s="20" t="n">
        <f aca="false">E11+E28</f>
        <v>0</v>
      </c>
      <c r="F45" s="20" t="n">
        <f aca="false">F11+F28</f>
        <v>0</v>
      </c>
      <c r="G45" s="20" t="n">
        <f aca="false">G11+G28</f>
        <v>0</v>
      </c>
      <c r="H45" s="20" t="n">
        <f aca="false">H11+H28</f>
        <v>0</v>
      </c>
      <c r="I45" s="20" t="n">
        <f aca="false">I11+I28</f>
        <v>0</v>
      </c>
      <c r="J45" s="20" t="n">
        <f aca="false">J11+J28</f>
        <v>0</v>
      </c>
      <c r="K45" s="20" t="n">
        <f aca="false">K11+K28</f>
        <v>0</v>
      </c>
      <c r="L45" s="20" t="n">
        <f aca="false">L11+L28</f>
        <v>0</v>
      </c>
      <c r="M45" s="20" t="n">
        <f aca="false">M11+M28</f>
        <v>0</v>
      </c>
      <c r="N45" s="10" t="s">
        <v>266</v>
      </c>
    </row>
    <row r="46" customFormat="false" ht="15" hidden="false" customHeight="false" outlineLevel="0" collapsed="false">
      <c r="A46" s="10" t="s">
        <v>314</v>
      </c>
      <c r="B46" s="7" t="s">
        <v>321</v>
      </c>
      <c r="D46" s="20" t="n">
        <f aca="false">D12+D29</f>
        <v>0.593</v>
      </c>
      <c r="E46" s="20" t="n">
        <f aca="false">E12+E29</f>
        <v>0.593</v>
      </c>
      <c r="F46" s="20" t="n">
        <f aca="false">F12+F29</f>
        <v>0.593</v>
      </c>
      <c r="G46" s="20" t="n">
        <f aca="false">G12+G29</f>
        <v>0.593</v>
      </c>
      <c r="H46" s="20" t="n">
        <f aca="false">H12+H29</f>
        <v>0.593</v>
      </c>
      <c r="I46" s="20" t="n">
        <f aca="false">I12+I29</f>
        <v>0.593</v>
      </c>
      <c r="J46" s="20" t="n">
        <f aca="false">J12+J29</f>
        <v>0.593</v>
      </c>
      <c r="K46" s="20" t="n">
        <f aca="false">K12+K29</f>
        <v>0.593</v>
      </c>
      <c r="L46" s="20" t="n">
        <f aca="false">L12+L29</f>
        <v>0.593</v>
      </c>
      <c r="M46" s="20" t="n">
        <f aca="false">M12+M29</f>
        <v>0.593</v>
      </c>
      <c r="N46" s="10" t="s">
        <v>275</v>
      </c>
    </row>
    <row r="47" customFormat="false" ht="15" hidden="false" customHeight="false" outlineLevel="0" collapsed="false">
      <c r="A47" s="10" t="s">
        <v>314</v>
      </c>
      <c r="B47" s="7" t="s">
        <v>322</v>
      </c>
      <c r="D47" s="20" t="n">
        <f aca="false">D13+D30</f>
        <v>0.2</v>
      </c>
      <c r="E47" s="20" t="n">
        <f aca="false">E13+E30</f>
        <v>0.2</v>
      </c>
      <c r="F47" s="20" t="n">
        <f aca="false">F13+F30</f>
        <v>0.2</v>
      </c>
      <c r="G47" s="20" t="n">
        <f aca="false">G13+G30</f>
        <v>0.2</v>
      </c>
      <c r="H47" s="20" t="n">
        <f aca="false">H13+H30</f>
        <v>0.2</v>
      </c>
      <c r="I47" s="20" t="n">
        <f aca="false">I13+I30</f>
        <v>0.2</v>
      </c>
      <c r="J47" s="20" t="n">
        <f aca="false">J13+J30</f>
        <v>0.2</v>
      </c>
      <c r="K47" s="20" t="n">
        <f aca="false">K13+K30</f>
        <v>0.2</v>
      </c>
      <c r="L47" s="20" t="n">
        <f aca="false">L13+L30</f>
        <v>0.2</v>
      </c>
      <c r="M47" s="20" t="n">
        <f aca="false">M13+M30</f>
        <v>0.2</v>
      </c>
      <c r="N47" s="10" t="s">
        <v>275</v>
      </c>
    </row>
    <row r="48" customFormat="false" ht="15" hidden="false" customHeight="false" outlineLevel="0" collapsed="false">
      <c r="A48" s="10" t="s">
        <v>314</v>
      </c>
      <c r="B48" s="7" t="s">
        <v>323</v>
      </c>
      <c r="D48" s="20" t="n">
        <f aca="false">D14+D31</f>
        <v>0.025</v>
      </c>
      <c r="E48" s="20" t="n">
        <f aca="false">E14+E31</f>
        <v>0.023</v>
      </c>
      <c r="F48" s="20" t="n">
        <f aca="false">F14+F31</f>
        <v>0.021</v>
      </c>
      <c r="G48" s="20" t="n">
        <f aca="false">G14+G31</f>
        <v>0.02</v>
      </c>
      <c r="H48" s="20" t="n">
        <f aca="false">H14+H31</f>
        <v>0.02</v>
      </c>
      <c r="I48" s="20" t="n">
        <f aca="false">I14+I31</f>
        <v>0.02</v>
      </c>
      <c r="J48" s="20" t="n">
        <f aca="false">J14+J31</f>
        <v>0.02</v>
      </c>
      <c r="K48" s="20" t="n">
        <f aca="false">K14+K31</f>
        <v>0.02</v>
      </c>
      <c r="L48" s="20" t="n">
        <f aca="false">L14+L31</f>
        <v>0.02</v>
      </c>
      <c r="M48" s="20" t="n">
        <f aca="false">M14+M31</f>
        <v>0.02</v>
      </c>
      <c r="N48" s="10" t="s">
        <v>266</v>
      </c>
    </row>
    <row r="49" customFormat="false" ht="15" hidden="false" customHeight="false" outlineLevel="0" collapsed="false">
      <c r="A49" s="10" t="s">
        <v>314</v>
      </c>
      <c r="B49" s="7" t="s">
        <v>324</v>
      </c>
      <c r="D49" s="22" t="n">
        <f aca="false">D15+D32</f>
        <v>0</v>
      </c>
      <c r="E49" s="22" t="n">
        <f aca="false">E15+E32</f>
        <v>0</v>
      </c>
      <c r="F49" s="22" t="n">
        <f aca="false">F15+F32</f>
        <v>0</v>
      </c>
      <c r="G49" s="22" t="n">
        <f aca="false">G15+G32</f>
        <v>0</v>
      </c>
      <c r="H49" s="22" t="n">
        <f aca="false">H15+H32</f>
        <v>0</v>
      </c>
      <c r="I49" s="22" t="n">
        <f aca="false">I15+I32</f>
        <v>0</v>
      </c>
      <c r="J49" s="22" t="n">
        <f aca="false">J15+J32</f>
        <v>0</v>
      </c>
      <c r="K49" s="22" t="n">
        <f aca="false">K15+K32</f>
        <v>0</v>
      </c>
      <c r="L49" s="22" t="n">
        <f aca="false">L15+L32</f>
        <v>0</v>
      </c>
      <c r="M49" s="22" t="n">
        <f aca="false">M15+M32</f>
        <v>0</v>
      </c>
      <c r="N49" s="10" t="s">
        <v>282</v>
      </c>
    </row>
    <row r="50" customFormat="false" ht="15" hidden="false" customHeight="false" outlineLevel="0" collapsed="false">
      <c r="A50" s="10" t="s">
        <v>314</v>
      </c>
      <c r="B50" s="7" t="s">
        <v>325</v>
      </c>
      <c r="D50" s="22" t="n">
        <f aca="false">D16+D33</f>
        <v>30</v>
      </c>
      <c r="E50" s="22" t="n">
        <f aca="false">E16+E33</f>
        <v>0</v>
      </c>
      <c r="F50" s="22" t="n">
        <f aca="false">F16+F33</f>
        <v>0</v>
      </c>
      <c r="G50" s="22" t="n">
        <f aca="false">G16+G33</f>
        <v>0</v>
      </c>
      <c r="H50" s="22" t="n">
        <f aca="false">H16+H33</f>
        <v>0</v>
      </c>
      <c r="I50" s="22" t="n">
        <f aca="false">I16+I33</f>
        <v>0</v>
      </c>
      <c r="J50" s="22" t="n">
        <f aca="false">J16+J33</f>
        <v>0</v>
      </c>
      <c r="K50" s="22" t="n">
        <f aca="false">K16+K33</f>
        <v>0</v>
      </c>
      <c r="L50" s="22" t="n">
        <f aca="false">L16+L33</f>
        <v>0</v>
      </c>
      <c r="M50" s="22" t="n">
        <f aca="false">M16+M33</f>
        <v>0</v>
      </c>
      <c r="N50" s="10" t="s">
        <v>282</v>
      </c>
    </row>
    <row r="51" customFormat="false" ht="15" hidden="false" customHeight="false" outlineLevel="0" collapsed="false">
      <c r="A51" s="10" t="s">
        <v>314</v>
      </c>
      <c r="B51" s="7" t="s">
        <v>326</v>
      </c>
      <c r="D51" s="20" t="n">
        <f aca="false">D17+D34</f>
        <v>0.007</v>
      </c>
      <c r="E51" s="20" t="n">
        <f aca="false">E17+E34</f>
        <v>0.007</v>
      </c>
      <c r="F51" s="20" t="n">
        <f aca="false">F17+F34</f>
        <v>0.007</v>
      </c>
      <c r="G51" s="20" t="n">
        <f aca="false">G17+G34</f>
        <v>0.007</v>
      </c>
      <c r="H51" s="20" t="n">
        <f aca="false">H17+H34</f>
        <v>0.007</v>
      </c>
      <c r="I51" s="20" t="n">
        <f aca="false">I17+I34</f>
        <v>0.007</v>
      </c>
      <c r="J51" s="20" t="n">
        <f aca="false">J17+J34</f>
        <v>0.007</v>
      </c>
      <c r="K51" s="20" t="n">
        <f aca="false">K17+K34</f>
        <v>0.007</v>
      </c>
      <c r="L51" s="20" t="n">
        <f aca="false">L17+L34</f>
        <v>0.007</v>
      </c>
      <c r="M51" s="20" t="n">
        <f aca="false">M17+M34</f>
        <v>0.007</v>
      </c>
      <c r="N51" s="10" t="s">
        <v>287</v>
      </c>
    </row>
    <row r="52" customFormat="false" ht="15" hidden="false" customHeight="false" outlineLevel="0" collapsed="false">
      <c r="A52" s="10" t="s">
        <v>314</v>
      </c>
      <c r="B52" s="7" t="s">
        <v>327</v>
      </c>
      <c r="D52" s="20" t="n">
        <f aca="false">D18+D35</f>
        <v>0.065</v>
      </c>
      <c r="E52" s="20" t="n">
        <f aca="false">E18+E35</f>
        <v>0.065</v>
      </c>
      <c r="F52" s="20" t="n">
        <f aca="false">F18+F35</f>
        <v>0.065</v>
      </c>
      <c r="G52" s="20" t="n">
        <f aca="false">G18+G35</f>
        <v>0.065</v>
      </c>
      <c r="H52" s="20" t="n">
        <f aca="false">H18+H35</f>
        <v>0.065</v>
      </c>
      <c r="I52" s="20" t="n">
        <f aca="false">I18+I35</f>
        <v>0.065</v>
      </c>
      <c r="J52" s="20" t="n">
        <f aca="false">J18+J35</f>
        <v>0.065</v>
      </c>
      <c r="K52" s="20" t="n">
        <f aca="false">K18+K35</f>
        <v>0.065</v>
      </c>
      <c r="L52" s="20" t="n">
        <f aca="false">L18+L35</f>
        <v>0.065</v>
      </c>
      <c r="M52" s="20" t="n">
        <f aca="false">M18+M35</f>
        <v>0.065</v>
      </c>
      <c r="N52" s="10" t="s">
        <v>290</v>
      </c>
    </row>
    <row r="53" customFormat="false" ht="15" hidden="false" customHeight="false" outlineLevel="0" collapsed="false">
      <c r="A53" s="10" t="s">
        <v>314</v>
      </c>
      <c r="B53" s="7" t="s">
        <v>328</v>
      </c>
      <c r="D53" s="20" t="n">
        <f aca="false">D19+D36</f>
        <v>0.24</v>
      </c>
      <c r="E53" s="20" t="n">
        <f aca="false">E19+E36</f>
        <v>0.24</v>
      </c>
      <c r="F53" s="20" t="n">
        <f aca="false">F19+F36</f>
        <v>0.24</v>
      </c>
      <c r="G53" s="20" t="n">
        <f aca="false">G19+G36</f>
        <v>0.24</v>
      </c>
      <c r="H53" s="20" t="n">
        <f aca="false">H19+H36</f>
        <v>0.24</v>
      </c>
      <c r="I53" s="20" t="n">
        <f aca="false">I19+I36</f>
        <v>0.24</v>
      </c>
      <c r="J53" s="20" t="n">
        <f aca="false">J19+J36</f>
        <v>0.24</v>
      </c>
      <c r="K53" s="20" t="n">
        <f aca="false">K19+K36</f>
        <v>0.24</v>
      </c>
      <c r="L53" s="20" t="n">
        <f aca="false">L19+L36</f>
        <v>0.24</v>
      </c>
      <c r="M53" s="20" t="n">
        <f aca="false">M19+M36</f>
        <v>0.24</v>
      </c>
      <c r="N53" s="10" t="s">
        <v>292</v>
      </c>
    </row>
    <row r="54" customFormat="false" ht="15" hidden="false" customHeight="false" outlineLevel="0" collapsed="false">
      <c r="A54" s="10" t="s">
        <v>314</v>
      </c>
      <c r="B54" s="7" t="s">
        <v>329</v>
      </c>
      <c r="D54" s="20" t="n">
        <f aca="false">D20+D37</f>
        <v>0.105</v>
      </c>
      <c r="N54" s="10" t="s">
        <v>266</v>
      </c>
    </row>
    <row r="56" customFormat="false" ht="15" hidden="false" customHeight="false" outlineLevel="0" collapsed="false">
      <c r="A56" s="12" t="s">
        <v>330</v>
      </c>
      <c r="B56" s="13"/>
      <c r="C56" s="13"/>
      <c r="D56" s="13"/>
      <c r="E56" s="13"/>
      <c r="F56" s="13"/>
      <c r="G56" s="13"/>
      <c r="H56" s="13"/>
      <c r="I56" s="13"/>
      <c r="J56" s="13"/>
      <c r="K56" s="13"/>
      <c r="L56" s="13"/>
      <c r="M56" s="13"/>
      <c r="N56" s="13"/>
      <c r="O56" s="13"/>
    </row>
    <row r="57" customFormat="false" ht="15" hidden="false" customHeight="false" outlineLevel="0" collapsed="false">
      <c r="A57" s="23" t="s">
        <v>331</v>
      </c>
      <c r="B57" s="24" t="s">
        <v>332</v>
      </c>
      <c r="C57" s="25"/>
      <c r="D57" s="25"/>
      <c r="E57" s="25"/>
      <c r="F57" s="25"/>
      <c r="G57" s="25"/>
      <c r="H57" s="25"/>
      <c r="I57" s="25"/>
      <c r="J57" s="25"/>
      <c r="K57" s="25"/>
      <c r="L57" s="25"/>
      <c r="M57" s="25"/>
      <c r="N57" s="25"/>
      <c r="O57" s="25"/>
    </row>
    <row r="58" customFormat="false" ht="15" hidden="false" customHeight="false" outlineLevel="0" collapsed="false">
      <c r="B58" s="7" t="s">
        <v>333</v>
      </c>
      <c r="C58" s="18" t="n">
        <v>2379</v>
      </c>
      <c r="D58" s="17" t="n">
        <f aca="false">C61</f>
        <v>2329</v>
      </c>
      <c r="E58" s="17" t="n">
        <f aca="false">D61</f>
        <v>2265</v>
      </c>
      <c r="F58" s="17" t="n">
        <f aca="false">E61</f>
        <v>2225</v>
      </c>
      <c r="G58" s="17" t="n">
        <f aca="false">F61</f>
        <v>2195</v>
      </c>
      <c r="H58" s="17" t="n">
        <f aca="false">G61</f>
        <v>2177</v>
      </c>
      <c r="I58" s="17" t="n">
        <f aca="false">H61</f>
        <v>2164</v>
      </c>
      <c r="J58" s="17" t="n">
        <f aca="false">I61</f>
        <v>2156</v>
      </c>
      <c r="K58" s="17" t="n">
        <f aca="false">J61</f>
        <v>2148</v>
      </c>
      <c r="L58" s="17" t="n">
        <f aca="false">K61</f>
        <v>2140</v>
      </c>
      <c r="M58" s="17" t="n">
        <f aca="false">L61</f>
        <v>2132</v>
      </c>
      <c r="N58" s="10" t="s">
        <v>261</v>
      </c>
      <c r="O58" s="10" t="s">
        <v>334</v>
      </c>
    </row>
    <row r="59" customFormat="false" ht="15" hidden="false" customHeight="false" outlineLevel="0" collapsed="false">
      <c r="B59" s="7" t="s">
        <v>335</v>
      </c>
      <c r="C59" s="18" t="n">
        <v>14</v>
      </c>
      <c r="D59" s="17" t="n">
        <f aca="false">D40</f>
        <v>6</v>
      </c>
      <c r="E59" s="17" t="n">
        <f aca="false">E40</f>
        <v>10</v>
      </c>
      <c r="F59" s="17" t="n">
        <f aca="false">F40</f>
        <v>10</v>
      </c>
      <c r="G59" s="17" t="n">
        <f aca="false">G40</f>
        <v>12</v>
      </c>
      <c r="H59" s="17" t="n">
        <f aca="false">H40</f>
        <v>12</v>
      </c>
      <c r="I59" s="17" t="n">
        <f aca="false">I40</f>
        <v>12</v>
      </c>
      <c r="J59" s="17" t="n">
        <f aca="false">J40</f>
        <v>12</v>
      </c>
      <c r="K59" s="17" t="n">
        <f aca="false">K40</f>
        <v>12</v>
      </c>
      <c r="L59" s="17" t="n">
        <f aca="false">L40</f>
        <v>12</v>
      </c>
      <c r="M59" s="17" t="n">
        <f aca="false">M40</f>
        <v>12</v>
      </c>
      <c r="N59" s="10" t="s">
        <v>261</v>
      </c>
      <c r="O59" s="10"/>
    </row>
    <row r="60" customFormat="false" ht="15" hidden="false" customHeight="false" outlineLevel="0" collapsed="false">
      <c r="B60" s="7" t="s">
        <v>336</v>
      </c>
      <c r="C60" s="18" t="n">
        <v>64</v>
      </c>
      <c r="D60" s="17" t="n">
        <f aca="false">D41</f>
        <v>70</v>
      </c>
      <c r="E60" s="17" t="n">
        <f aca="false">E41</f>
        <v>50</v>
      </c>
      <c r="F60" s="17" t="n">
        <f aca="false">F41</f>
        <v>40</v>
      </c>
      <c r="G60" s="17" t="n">
        <f aca="false">G41</f>
        <v>30</v>
      </c>
      <c r="H60" s="17" t="n">
        <f aca="false">H41</f>
        <v>25</v>
      </c>
      <c r="I60" s="17" t="n">
        <f aca="false">I41</f>
        <v>20</v>
      </c>
      <c r="J60" s="17" t="n">
        <f aca="false">J41</f>
        <v>20</v>
      </c>
      <c r="K60" s="17" t="n">
        <f aca="false">K41</f>
        <v>20</v>
      </c>
      <c r="L60" s="17" t="n">
        <f aca="false">L41</f>
        <v>20</v>
      </c>
      <c r="M60" s="17" t="n">
        <f aca="false">M41</f>
        <v>20</v>
      </c>
      <c r="N60" s="10" t="s">
        <v>261</v>
      </c>
      <c r="O60" s="10"/>
    </row>
    <row r="61" customFormat="false" ht="15" hidden="false" customHeight="false" outlineLevel="0" collapsed="false">
      <c r="B61" s="7" t="s">
        <v>337</v>
      </c>
      <c r="C61" s="17" t="n">
        <f aca="false">C58+C59-C60</f>
        <v>2329</v>
      </c>
      <c r="D61" s="17" t="n">
        <f aca="false">D58+D59-D60</f>
        <v>2265</v>
      </c>
      <c r="E61" s="17" t="n">
        <f aca="false">E58+E59-E60</f>
        <v>2225</v>
      </c>
      <c r="F61" s="17" t="n">
        <f aca="false">F58+F59-F60</f>
        <v>2195</v>
      </c>
      <c r="G61" s="17" t="n">
        <f aca="false">G58+G59-G60</f>
        <v>2177</v>
      </c>
      <c r="H61" s="17" t="n">
        <f aca="false">H58+H59-H60</f>
        <v>2164</v>
      </c>
      <c r="I61" s="17" t="n">
        <f aca="false">I58+I59-I60</f>
        <v>2156</v>
      </c>
      <c r="J61" s="17" t="n">
        <f aca="false">J58+J59-J60</f>
        <v>2148</v>
      </c>
      <c r="K61" s="17" t="n">
        <f aca="false">K58+K59-K60</f>
        <v>2140</v>
      </c>
      <c r="L61" s="17" t="n">
        <f aca="false">L58+L59-L60</f>
        <v>2132</v>
      </c>
      <c r="M61" s="17" t="n">
        <f aca="false">M58+M59-M60</f>
        <v>2124</v>
      </c>
      <c r="N61" s="10" t="s">
        <v>261</v>
      </c>
      <c r="O61" s="10"/>
    </row>
    <row r="62" customFormat="false" ht="15" hidden="false" customHeight="false" outlineLevel="0" collapsed="false">
      <c r="B62" s="7" t="s">
        <v>338</v>
      </c>
      <c r="C62" s="22" t="n">
        <f aca="false">AVERAGE(C58,C61)</f>
        <v>2354</v>
      </c>
      <c r="D62" s="22" t="n">
        <f aca="false">AVERAGE(D58,D61)</f>
        <v>2297</v>
      </c>
      <c r="E62" s="22" t="n">
        <f aca="false">AVERAGE(E58,E61)</f>
        <v>2245</v>
      </c>
      <c r="F62" s="22" t="n">
        <f aca="false">AVERAGE(F58,F61)</f>
        <v>2210</v>
      </c>
      <c r="G62" s="22" t="n">
        <f aca="false">AVERAGE(G58,G61)</f>
        <v>2186</v>
      </c>
      <c r="H62" s="22" t="n">
        <f aca="false">AVERAGE(H58,H61)</f>
        <v>2170.5</v>
      </c>
      <c r="I62" s="22" t="n">
        <f aca="false">AVERAGE(I58,I61)</f>
        <v>2160</v>
      </c>
      <c r="J62" s="22" t="n">
        <f aca="false">AVERAGE(J58,J61)</f>
        <v>2152</v>
      </c>
      <c r="K62" s="22" t="n">
        <f aca="false">AVERAGE(K58,K61)</f>
        <v>2144</v>
      </c>
      <c r="L62" s="22" t="n">
        <f aca="false">AVERAGE(L58,L61)</f>
        <v>2136</v>
      </c>
      <c r="M62" s="22" t="n">
        <f aca="false">AVERAGE(M58,M61)</f>
        <v>2128</v>
      </c>
      <c r="N62" s="10" t="s">
        <v>261</v>
      </c>
      <c r="O62" s="10"/>
    </row>
    <row r="63" customFormat="false" ht="15" hidden="false" customHeight="false" outlineLevel="0" collapsed="false">
      <c r="B63" s="7" t="s">
        <v>339</v>
      </c>
      <c r="C63" s="26" t="n">
        <f aca="false">IF(C62=0,0,C66/C62)</f>
        <v>1.77561597281223</v>
      </c>
      <c r="D63" s="26" t="n">
        <f aca="false">C63*(1+D42)</f>
        <v>1.80225021240442</v>
      </c>
      <c r="E63" s="26" t="n">
        <f aca="false">D63*(1+E42)</f>
        <v>1.83829521665251</v>
      </c>
      <c r="F63" s="26" t="n">
        <f aca="false">E63*(1+F42)</f>
        <v>1.87506112098556</v>
      </c>
      <c r="G63" s="26" t="n">
        <f aca="false">F63*(1+G42)</f>
        <v>1.91256234340527</v>
      </c>
      <c r="H63" s="26" t="n">
        <f aca="false">G63*(1+H42)</f>
        <v>1.95081359027337</v>
      </c>
      <c r="I63" s="26" t="n">
        <f aca="false">H63*(1+I42)</f>
        <v>1.98982986207884</v>
      </c>
      <c r="J63" s="26" t="n">
        <f aca="false">I63*(1+J42)</f>
        <v>2.02962645932042</v>
      </c>
      <c r="K63" s="26" t="n">
        <f aca="false">J63*(1+K42)</f>
        <v>2.07021898850683</v>
      </c>
      <c r="L63" s="26" t="n">
        <f aca="false">K63*(1+L42)</f>
        <v>2.11162336827696</v>
      </c>
      <c r="M63" s="26" t="n">
        <f aca="false">L63*(1+M42)</f>
        <v>2.1538558356425</v>
      </c>
      <c r="N63" s="10" t="s">
        <v>340</v>
      </c>
      <c r="O63" s="10" t="s">
        <v>341</v>
      </c>
    </row>
    <row r="65" customFormat="false" ht="15" hidden="false" customHeight="false" outlineLevel="0" collapsed="false">
      <c r="A65" s="23" t="s">
        <v>342</v>
      </c>
      <c r="B65" s="24" t="s">
        <v>343</v>
      </c>
      <c r="C65" s="25"/>
      <c r="D65" s="25"/>
      <c r="E65" s="25"/>
      <c r="F65" s="25"/>
      <c r="G65" s="25"/>
      <c r="H65" s="25"/>
      <c r="I65" s="25"/>
      <c r="J65" s="25"/>
      <c r="K65" s="25"/>
      <c r="L65" s="25"/>
      <c r="M65" s="25"/>
      <c r="N65" s="25"/>
      <c r="O65" s="25"/>
    </row>
    <row r="66" customFormat="false" ht="15" hidden="false" customHeight="false" outlineLevel="0" collapsed="false">
      <c r="B66" s="7" t="s">
        <v>344</v>
      </c>
      <c r="C66" s="21" t="n">
        <v>4179.8</v>
      </c>
      <c r="D66" s="22" t="n">
        <f aca="false">D62*D63</f>
        <v>4139.76873789295</v>
      </c>
      <c r="E66" s="22" t="n">
        <f aca="false">E62*E63</f>
        <v>4126.97276138488</v>
      </c>
      <c r="F66" s="22" t="n">
        <f aca="false">F62*F63</f>
        <v>4143.88507737808</v>
      </c>
      <c r="G66" s="22" t="n">
        <f aca="false">G62*G63</f>
        <v>4180.86128268391</v>
      </c>
      <c r="H66" s="22" t="n">
        <f aca="false">H62*H63</f>
        <v>4234.24089768836</v>
      </c>
      <c r="I66" s="22" t="n">
        <f aca="false">I62*I63</f>
        <v>4298.0325020903</v>
      </c>
      <c r="J66" s="22" t="n">
        <f aca="false">J62*J63</f>
        <v>4367.75614045754</v>
      </c>
      <c r="K66" s="22" t="n">
        <f aca="false">K62*K63</f>
        <v>4438.54951135863</v>
      </c>
      <c r="L66" s="22" t="n">
        <f aca="false">L62*L63</f>
        <v>4510.42751463959</v>
      </c>
      <c r="M66" s="22" t="n">
        <f aca="false">M62*M63</f>
        <v>4583.40521824724</v>
      </c>
      <c r="N66" s="10" t="s">
        <v>282</v>
      </c>
      <c r="O66" s="10"/>
    </row>
    <row r="67" customFormat="false" ht="15" hidden="false" customHeight="false" outlineLevel="0" collapsed="false">
      <c r="B67" s="7" t="s">
        <v>345</v>
      </c>
      <c r="C67" s="21" t="n">
        <v>1423.8</v>
      </c>
      <c r="D67" s="22" t="n">
        <f aca="false">C67*(1+D43)</f>
        <v>1466.514</v>
      </c>
      <c r="E67" s="22" t="n">
        <f aca="false">D67*(1+E43)</f>
        <v>1525.17456</v>
      </c>
      <c r="F67" s="22" t="n">
        <f aca="false">E67*(1+F43)</f>
        <v>1586.1815424</v>
      </c>
      <c r="G67" s="22" t="n">
        <f aca="false">F67*(1+G43)</f>
        <v>1649.628804096</v>
      </c>
      <c r="H67" s="22" t="n">
        <f aca="false">G67*(1+H43)</f>
        <v>1715.61395625984</v>
      </c>
      <c r="I67" s="22" t="n">
        <f aca="false">H67*(1+I43)</f>
        <v>1784.23851451023</v>
      </c>
      <c r="J67" s="22" t="n">
        <f aca="false">I67*(1+J43)</f>
        <v>1855.60805509064</v>
      </c>
      <c r="K67" s="22" t="n">
        <f aca="false">J67*(1+K43)</f>
        <v>1929.83237729427</v>
      </c>
      <c r="L67" s="22" t="n">
        <f aca="false">K67*(1+L43)</f>
        <v>2007.02567238604</v>
      </c>
      <c r="M67" s="22" t="n">
        <f aca="false">L67*(1+M43)</f>
        <v>2087.30669928148</v>
      </c>
      <c r="N67" s="10" t="s">
        <v>282</v>
      </c>
      <c r="O67" s="10" t="s">
        <v>346</v>
      </c>
    </row>
    <row r="68" customFormat="false" ht="15" hidden="false" customHeight="false" outlineLevel="0" collapsed="false">
      <c r="B68" s="7" t="s">
        <v>347</v>
      </c>
      <c r="C68" s="21" t="n">
        <v>760</v>
      </c>
      <c r="D68" s="22" t="n">
        <f aca="false">(D66+D67)*D44</f>
        <v>773.667017829227</v>
      </c>
      <c r="E68" s="22" t="n">
        <f aca="false">(E66+E67)*E44</f>
        <v>791.300624993883</v>
      </c>
      <c r="F68" s="22" t="n">
        <f aca="false">(F66+F67)*F44</f>
        <v>802.209326768931</v>
      </c>
      <c r="G68" s="22" t="n">
        <f aca="false">(G66+G67)*G44</f>
        <v>816.268612149188</v>
      </c>
      <c r="H68" s="22" t="n">
        <f aca="false">(H66+H67)*H44</f>
        <v>832.979679552747</v>
      </c>
      <c r="I68" s="22" t="n">
        <f aca="false">(I66+I67)*I44</f>
        <v>851.517942324074</v>
      </c>
      <c r="J68" s="22" t="n">
        <f aca="false">(J66+J67)*J44</f>
        <v>871.270987376745</v>
      </c>
      <c r="K68" s="22" t="n">
        <f aca="false">(K66+K67)*K44</f>
        <v>891.573464411407</v>
      </c>
      <c r="L68" s="22" t="n">
        <f aca="false">(L66+L67)*L44</f>
        <v>912.443446183588</v>
      </c>
      <c r="M68" s="22" t="n">
        <f aca="false">(M66+M67)*M44</f>
        <v>933.899668454022</v>
      </c>
      <c r="N68" s="10" t="s">
        <v>282</v>
      </c>
      <c r="O68" s="10" t="s">
        <v>348</v>
      </c>
    </row>
    <row r="69" customFormat="false" ht="15" hidden="false" customHeight="false" outlineLevel="0" collapsed="false">
      <c r="B69" s="7" t="s">
        <v>349</v>
      </c>
      <c r="C69" s="21" t="n">
        <v>0</v>
      </c>
      <c r="D69" s="22" t="n">
        <f aca="false">C69*(1+D45)</f>
        <v>0</v>
      </c>
      <c r="E69" s="22" t="n">
        <f aca="false">D69*(1+E45)</f>
        <v>0</v>
      </c>
      <c r="F69" s="22" t="n">
        <f aca="false">E69*(1+F45)</f>
        <v>0</v>
      </c>
      <c r="G69" s="22" t="n">
        <f aca="false">F69*(1+G45)</f>
        <v>0</v>
      </c>
      <c r="H69" s="22" t="n">
        <f aca="false">G69*(1+H45)</f>
        <v>0</v>
      </c>
      <c r="I69" s="22" t="n">
        <f aca="false">H69*(1+I45)</f>
        <v>0</v>
      </c>
      <c r="J69" s="22" t="n">
        <f aca="false">I69*(1+J45)</f>
        <v>0</v>
      </c>
      <c r="K69" s="22" t="n">
        <f aca="false">J69*(1+K45)</f>
        <v>0</v>
      </c>
      <c r="L69" s="22" t="n">
        <f aca="false">K69*(1+L45)</f>
        <v>0</v>
      </c>
      <c r="M69" s="22" t="n">
        <f aca="false">L69*(1+M45)</f>
        <v>0</v>
      </c>
      <c r="N69" s="10" t="s">
        <v>282</v>
      </c>
      <c r="O69" s="10" t="s">
        <v>350</v>
      </c>
    </row>
    <row r="70" customFormat="false" ht="15" hidden="false" customHeight="false" outlineLevel="0" collapsed="false">
      <c r="B70" s="3" t="s">
        <v>351</v>
      </c>
      <c r="C70" s="27" t="n">
        <f aca="false">SUM(C66:C69)</f>
        <v>6363.6</v>
      </c>
      <c r="D70" s="27" t="n">
        <f aca="false">SUM(D66:D69)</f>
        <v>6379.94975572218</v>
      </c>
      <c r="E70" s="27" t="n">
        <f aca="false">SUM(E66:E69)</f>
        <v>6443.44794637876</v>
      </c>
      <c r="F70" s="27" t="n">
        <f aca="false">SUM(F66:F69)</f>
        <v>6532.27594654701</v>
      </c>
      <c r="G70" s="27" t="n">
        <f aca="false">SUM(G66:G69)</f>
        <v>6646.7586989291</v>
      </c>
      <c r="H70" s="27" t="n">
        <f aca="false">SUM(H66:H69)</f>
        <v>6782.83453350094</v>
      </c>
      <c r="I70" s="27" t="n">
        <f aca="false">SUM(I66:I69)</f>
        <v>6933.7889589246</v>
      </c>
      <c r="J70" s="27" t="n">
        <f aca="false">SUM(J66:J69)</f>
        <v>7094.63518292493</v>
      </c>
      <c r="K70" s="27" t="n">
        <f aca="false">SUM(K66:K69)</f>
        <v>7259.95535306431</v>
      </c>
      <c r="L70" s="27" t="n">
        <f aca="false">SUM(L66:L69)</f>
        <v>7429.89663320922</v>
      </c>
      <c r="M70" s="27" t="n">
        <f aca="false">SUM(M66:M69)</f>
        <v>7604.61158598275</v>
      </c>
      <c r="N70" s="10" t="s">
        <v>282</v>
      </c>
      <c r="O70" s="10" t="s">
        <v>352</v>
      </c>
    </row>
    <row r="71" customFormat="false" ht="15" hidden="false" customHeight="false" outlineLevel="0" collapsed="false">
      <c r="B71" s="7" t="s">
        <v>353</v>
      </c>
      <c r="D71" s="20" t="n">
        <f aca="false">IF(C70=0,0,D70/C70-1)</f>
        <v>0.00256926200926744</v>
      </c>
      <c r="E71" s="20" t="n">
        <f aca="false">IF(D70=0,0,E70/D70-1)</f>
        <v>0.00995277284113927</v>
      </c>
      <c r="F71" s="20" t="n">
        <f aca="false">IF(E70=0,0,F70/E70-1)</f>
        <v>0.013785786881102</v>
      </c>
      <c r="G71" s="20" t="n">
        <f aca="false">IF(F70=0,0,G70/F70-1)</f>
        <v>0.0175257067090999</v>
      </c>
      <c r="H71" s="20" t="n">
        <f aca="false">IF(G70=0,0,H70/G70-1)</f>
        <v>0.0204725100963519</v>
      </c>
      <c r="I71" s="20" t="n">
        <f aca="false">IF(H70=0,0,I70/H70-1)</f>
        <v>0.0222553601563011</v>
      </c>
      <c r="J71" s="20" t="n">
        <f aca="false">IF(I70=0,0,J70/I70-1)</f>
        <v>0.0231974501896681</v>
      </c>
      <c r="K71" s="20" t="n">
        <f aca="false">IF(J70=0,0,K70/J70-1)</f>
        <v>0.0233021382885577</v>
      </c>
      <c r="L71" s="20" t="n">
        <f aca="false">IF(K70=0,0,L70/K70-1)</f>
        <v>0.0234080337798746</v>
      </c>
      <c r="M71" s="20" t="n">
        <f aca="false">IF(L70=0,0,M70/L70-1)</f>
        <v>0.0235151256334587</v>
      </c>
      <c r="N71" s="10" t="s">
        <v>354</v>
      </c>
      <c r="O71" s="10"/>
    </row>
    <row r="72" customFormat="false" ht="15" hidden="false" customHeight="false" outlineLevel="0" collapsed="false">
      <c r="B72" s="7" t="s">
        <v>355</v>
      </c>
      <c r="C72" s="21" t="n">
        <v>3803.5</v>
      </c>
      <c r="D72" s="22" t="n">
        <f aca="false">D70*D46</f>
        <v>3783.31020514325</v>
      </c>
      <c r="E72" s="22" t="n">
        <f aca="false">E70*E46</f>
        <v>3820.9646322026</v>
      </c>
      <c r="F72" s="22" t="n">
        <f aca="false">F70*F46</f>
        <v>3873.63963630238</v>
      </c>
      <c r="G72" s="22" t="n">
        <f aca="false">G70*G46</f>
        <v>3941.52790846496</v>
      </c>
      <c r="H72" s="22" t="n">
        <f aca="false">H70*H46</f>
        <v>4022.22087836606</v>
      </c>
      <c r="I72" s="22" t="n">
        <f aca="false">I70*I46</f>
        <v>4111.73685264229</v>
      </c>
      <c r="J72" s="22" t="n">
        <f aca="false">J70*J46</f>
        <v>4207.11866347448</v>
      </c>
      <c r="K72" s="22" t="n">
        <f aca="false">K70*K46</f>
        <v>4305.15352436714</v>
      </c>
      <c r="L72" s="22" t="n">
        <f aca="false">L70*L46</f>
        <v>4405.92870349307</v>
      </c>
      <c r="M72" s="22" t="n">
        <f aca="false">M70*M46</f>
        <v>4509.53467048777</v>
      </c>
      <c r="N72" s="10" t="s">
        <v>282</v>
      </c>
      <c r="O72" s="10" t="s">
        <v>356</v>
      </c>
    </row>
    <row r="73" customFormat="false" ht="15" hidden="false" customHeight="false" outlineLevel="0" collapsed="false">
      <c r="B73" s="3" t="s">
        <v>357</v>
      </c>
      <c r="C73" s="27" t="n">
        <f aca="false">C70-C72</f>
        <v>2560.1</v>
      </c>
      <c r="D73" s="27" t="n">
        <f aca="false">D70-D72</f>
        <v>2596.63955057893</v>
      </c>
      <c r="E73" s="27" t="n">
        <f aca="false">E70-E72</f>
        <v>2622.48331417616</v>
      </c>
      <c r="F73" s="27" t="n">
        <f aca="false">F70-F72</f>
        <v>2658.63631024463</v>
      </c>
      <c r="G73" s="27" t="n">
        <f aca="false">G70-G72</f>
        <v>2705.23079046415</v>
      </c>
      <c r="H73" s="27" t="n">
        <f aca="false">H70-H72</f>
        <v>2760.61365513488</v>
      </c>
      <c r="I73" s="27" t="n">
        <f aca="false">I70-I72</f>
        <v>2822.05210628231</v>
      </c>
      <c r="J73" s="27" t="n">
        <f aca="false">J70-J72</f>
        <v>2887.51651945045</v>
      </c>
      <c r="K73" s="27" t="n">
        <f aca="false">K70-K72</f>
        <v>2954.80182869717</v>
      </c>
      <c r="L73" s="27" t="n">
        <f aca="false">L70-L72</f>
        <v>3023.96792971615</v>
      </c>
      <c r="M73" s="27" t="n">
        <f aca="false">M70-M72</f>
        <v>3095.07691549498</v>
      </c>
      <c r="N73" s="10" t="s">
        <v>282</v>
      </c>
      <c r="O73" s="10"/>
    </row>
    <row r="74" customFormat="false" ht="15" hidden="false" customHeight="false" outlineLevel="0" collapsed="false">
      <c r="B74" s="7" t="s">
        <v>358</v>
      </c>
      <c r="C74" s="20" t="n">
        <f aca="false">IF(C70=0,0,C73/C70)</f>
        <v>0.402303727449871</v>
      </c>
      <c r="D74" s="20" t="n">
        <f aca="false">IF(D70=0,0,D73/D70)</f>
        <v>0.407</v>
      </c>
      <c r="E74" s="20" t="n">
        <f aca="false">IF(E70=0,0,E73/E70)</f>
        <v>0.407</v>
      </c>
      <c r="F74" s="20" t="n">
        <f aca="false">IF(F70=0,0,F73/F70)</f>
        <v>0.407</v>
      </c>
      <c r="G74" s="20" t="n">
        <f aca="false">IF(G70=0,0,G73/G70)</f>
        <v>0.407</v>
      </c>
      <c r="H74" s="20" t="n">
        <f aca="false">IF(H70=0,0,H73/H70)</f>
        <v>0.407</v>
      </c>
      <c r="I74" s="20" t="n">
        <f aca="false">IF(I70=0,0,I73/I70)</f>
        <v>0.407</v>
      </c>
      <c r="J74" s="20" t="n">
        <f aca="false">IF(J70=0,0,J73/J70)</f>
        <v>0.407</v>
      </c>
      <c r="K74" s="20" t="n">
        <f aca="false">IF(K70=0,0,K73/K70)</f>
        <v>0.407</v>
      </c>
      <c r="L74" s="20" t="n">
        <f aca="false">IF(L70=0,0,L73/L70)</f>
        <v>0.407</v>
      </c>
      <c r="M74" s="20" t="n">
        <f aca="false">IF(M70=0,0,M73/M70)</f>
        <v>0.407</v>
      </c>
      <c r="N74" s="10" t="s">
        <v>354</v>
      </c>
      <c r="O74" s="10"/>
    </row>
    <row r="75" customFormat="false" ht="15" hidden="false" customHeight="false" outlineLevel="0" collapsed="false">
      <c r="B75" s="7" t="s">
        <v>359</v>
      </c>
      <c r="C75" s="21" t="n">
        <v>1272.7</v>
      </c>
      <c r="D75" s="22" t="n">
        <f aca="false">D70*D47</f>
        <v>1275.98995114444</v>
      </c>
      <c r="E75" s="22" t="n">
        <f aca="false">E70*E47</f>
        <v>1288.68958927575</v>
      </c>
      <c r="F75" s="22" t="n">
        <f aca="false">F70*F47</f>
        <v>1306.4551893094</v>
      </c>
      <c r="G75" s="22" t="n">
        <f aca="false">G70*G47</f>
        <v>1329.35173978582</v>
      </c>
      <c r="H75" s="22" t="n">
        <f aca="false">H70*H47</f>
        <v>1356.56690670019</v>
      </c>
      <c r="I75" s="22" t="n">
        <f aca="false">I70*I47</f>
        <v>1386.75779178492</v>
      </c>
      <c r="J75" s="22" t="n">
        <f aca="false">J70*J47</f>
        <v>1418.92703658499</v>
      </c>
      <c r="K75" s="22" t="n">
        <f aca="false">K70*K47</f>
        <v>1451.99107061286</v>
      </c>
      <c r="L75" s="22" t="n">
        <f aca="false">L70*L47</f>
        <v>1485.97932664184</v>
      </c>
      <c r="M75" s="22" t="n">
        <f aca="false">M70*M47</f>
        <v>1520.92231719655</v>
      </c>
      <c r="N75" s="10" t="s">
        <v>282</v>
      </c>
      <c r="O75" s="10"/>
    </row>
    <row r="76" customFormat="false" ht="15" hidden="false" customHeight="false" outlineLevel="0" collapsed="false">
      <c r="B76" s="7" t="s">
        <v>360</v>
      </c>
      <c r="C76" s="21" t="n">
        <v>731.5</v>
      </c>
      <c r="D76" s="22" t="n">
        <f aca="false">C76*(1+D48)-D49</f>
        <v>749.7875</v>
      </c>
      <c r="E76" s="22" t="n">
        <f aca="false">D76*(1+E48)-E49</f>
        <v>767.0326125</v>
      </c>
      <c r="F76" s="22" t="n">
        <f aca="false">E76*(1+F48)-F49</f>
        <v>783.1402973625</v>
      </c>
      <c r="G76" s="22" t="n">
        <f aca="false">F76*(1+G48)-G49</f>
        <v>798.80310330975</v>
      </c>
      <c r="H76" s="22" t="n">
        <f aca="false">G76*(1+H48)-H49</f>
        <v>814.779165375945</v>
      </c>
      <c r="I76" s="22" t="n">
        <f aca="false">H76*(1+I48)-I49</f>
        <v>831.074748683464</v>
      </c>
      <c r="J76" s="22" t="n">
        <f aca="false">I76*(1+J48)-J49</f>
        <v>847.696243657133</v>
      </c>
      <c r="K76" s="22" t="n">
        <f aca="false">J76*(1+K48)-K49</f>
        <v>864.650168530276</v>
      </c>
      <c r="L76" s="22" t="n">
        <f aca="false">K76*(1+L48)-L49</f>
        <v>881.943171900881</v>
      </c>
      <c r="M76" s="22" t="n">
        <f aca="false">L76*(1+M48)-M49</f>
        <v>899.582035338899</v>
      </c>
      <c r="N76" s="10" t="s">
        <v>282</v>
      </c>
      <c r="O76" s="10" t="s">
        <v>361</v>
      </c>
    </row>
    <row r="77" customFormat="false" ht="15" hidden="false" customHeight="false" outlineLevel="0" collapsed="false">
      <c r="B77" s="7" t="s">
        <v>362</v>
      </c>
      <c r="C77" s="22" t="n">
        <f aca="false">C75+C76</f>
        <v>2004.2</v>
      </c>
      <c r="D77" s="22" t="n">
        <f aca="false">D75+D76</f>
        <v>2025.77745114444</v>
      </c>
      <c r="E77" s="22" t="n">
        <f aca="false">E75+E76</f>
        <v>2055.72220177575</v>
      </c>
      <c r="F77" s="22" t="n">
        <f aca="false">F75+F76</f>
        <v>2089.5954866719</v>
      </c>
      <c r="G77" s="22" t="n">
        <f aca="false">G75+G76</f>
        <v>2128.15484309557</v>
      </c>
      <c r="H77" s="22" t="n">
        <f aca="false">H75+H76</f>
        <v>2171.34607207613</v>
      </c>
      <c r="I77" s="22" t="n">
        <f aca="false">I75+I76</f>
        <v>2217.83254046838</v>
      </c>
      <c r="J77" s="22" t="n">
        <f aca="false">J75+J76</f>
        <v>2266.62328024212</v>
      </c>
      <c r="K77" s="22" t="n">
        <f aca="false">K75+K76</f>
        <v>2316.64123914314</v>
      </c>
      <c r="L77" s="22" t="n">
        <f aca="false">L75+L76</f>
        <v>2367.92249854273</v>
      </c>
      <c r="M77" s="22" t="n">
        <f aca="false">M75+M76</f>
        <v>2420.50435253545</v>
      </c>
      <c r="N77" s="10" t="s">
        <v>282</v>
      </c>
      <c r="O77" s="10"/>
    </row>
    <row r="78" customFormat="false" ht="15" hidden="false" customHeight="false" outlineLevel="0" collapsed="false">
      <c r="B78" s="7" t="s">
        <v>363</v>
      </c>
      <c r="C78" s="20" t="n">
        <f aca="false">IF(C70=0,0,C77/C70)</f>
        <v>0.314947513985794</v>
      </c>
      <c r="D78" s="20" t="n">
        <f aca="false">IF(D70=0,0,D77/D70)</f>
        <v>0.317522477246395</v>
      </c>
      <c r="E78" s="20" t="n">
        <f aca="false">IF(E70=0,0,E77/E70)</f>
        <v>0.319040709086674</v>
      </c>
      <c r="F78" s="20" t="n">
        <f aca="false">IF(F70=0,0,F77/F70)</f>
        <v>0.319887816095165</v>
      </c>
      <c r="G78" s="20" t="n">
        <f aca="false">IF(G70=0,0,G77/G70)</f>
        <v>0.320179344473337</v>
      </c>
      <c r="H78" s="20" t="n">
        <f aca="false">IF(H70=0,0,H77/H70)</f>
        <v>0.32012369774785</v>
      </c>
      <c r="I78" s="20" t="n">
        <f aca="false">IF(I70=0,0,I77/I70)</f>
        <v>0.31985867375063</v>
      </c>
      <c r="J78" s="20" t="n">
        <f aca="false">IF(J70=0,0,J77/J70)</f>
        <v>0.319484120296606</v>
      </c>
      <c r="K78" s="20" t="n">
        <f aca="false">IF(K70=0,0,K77/K70)</f>
        <v>0.319098551779016</v>
      </c>
      <c r="L78" s="20" t="n">
        <f aca="false">IF(L70=0,0,L77/L70)</f>
        <v>0.318701943706576</v>
      </c>
      <c r="M78" s="20" t="n">
        <f aca="false">IF(M70=0,0,M77/M70)</f>
        <v>0.318294277777061</v>
      </c>
      <c r="N78" s="10" t="s">
        <v>354</v>
      </c>
      <c r="O78" s="10"/>
    </row>
    <row r="79" customFormat="false" ht="15" hidden="false" customHeight="false" outlineLevel="0" collapsed="false">
      <c r="B79" s="7" t="s">
        <v>364</v>
      </c>
      <c r="C79" s="21" t="n">
        <v>-103.3</v>
      </c>
      <c r="D79" s="22" t="n">
        <f aca="false">D50</f>
        <v>30</v>
      </c>
      <c r="E79" s="22" t="n">
        <f aca="false">E50</f>
        <v>0</v>
      </c>
      <c r="F79" s="22" t="n">
        <f aca="false">F50</f>
        <v>0</v>
      </c>
      <c r="G79" s="22" t="n">
        <f aca="false">G50</f>
        <v>0</v>
      </c>
      <c r="H79" s="22" t="n">
        <f aca="false">H50</f>
        <v>0</v>
      </c>
      <c r="I79" s="22" t="n">
        <f aca="false">I50</f>
        <v>0</v>
      </c>
      <c r="J79" s="22" t="n">
        <f aca="false">J50</f>
        <v>0</v>
      </c>
      <c r="K79" s="22" t="n">
        <f aca="false">K50</f>
        <v>0</v>
      </c>
      <c r="L79" s="22" t="n">
        <f aca="false">L50</f>
        <v>0</v>
      </c>
      <c r="M79" s="22" t="n">
        <f aca="false">M50</f>
        <v>0</v>
      </c>
      <c r="N79" s="10" t="s">
        <v>282</v>
      </c>
      <c r="O79" s="10" t="s">
        <v>365</v>
      </c>
    </row>
    <row r="80" customFormat="false" ht="15" hidden="false" customHeight="false" outlineLevel="0" collapsed="false">
      <c r="B80" s="3" t="s">
        <v>366</v>
      </c>
      <c r="C80" s="27" t="n">
        <f aca="false">C73-C77+C79</f>
        <v>452.6</v>
      </c>
      <c r="D80" s="27" t="n">
        <f aca="false">D73-D77+D79</f>
        <v>600.862099434491</v>
      </c>
      <c r="E80" s="27" t="n">
        <f aca="false">E73-E77+E79</f>
        <v>566.761112400403</v>
      </c>
      <c r="F80" s="27" t="n">
        <f aca="false">F73-F77+F79</f>
        <v>569.040823572731</v>
      </c>
      <c r="G80" s="27" t="n">
        <f aca="false">G73-G77+G79</f>
        <v>577.075947368575</v>
      </c>
      <c r="H80" s="27" t="n">
        <f aca="false">H73-H77+H79</f>
        <v>589.267583058751</v>
      </c>
      <c r="I80" s="27" t="n">
        <f aca="false">I73-I77+I79</f>
        <v>604.219565813929</v>
      </c>
      <c r="J80" s="27" t="n">
        <f aca="false">J73-J77+J79</f>
        <v>620.893239208327</v>
      </c>
      <c r="K80" s="27" t="n">
        <f aca="false">K73-K77+K79</f>
        <v>638.160589554036</v>
      </c>
      <c r="L80" s="27" t="n">
        <f aca="false">L73-L77+L79</f>
        <v>656.045431173427</v>
      </c>
      <c r="M80" s="27" t="n">
        <f aca="false">M73-M77+M79</f>
        <v>674.57256295953</v>
      </c>
      <c r="N80" s="10" t="s">
        <v>282</v>
      </c>
      <c r="O80" s="10" t="s">
        <v>367</v>
      </c>
    </row>
    <row r="81" customFormat="false" ht="15" hidden="false" customHeight="false" outlineLevel="0" collapsed="false">
      <c r="B81" s="7" t="s">
        <v>368</v>
      </c>
      <c r="C81" s="20" t="n">
        <f aca="false">IF(C70=0,0,C80/C70)</f>
        <v>0.0711232635615061</v>
      </c>
      <c r="D81" s="20" t="n">
        <f aca="false">IF(D70=0,0,D80/D70)</f>
        <v>0.0941797541423547</v>
      </c>
      <c r="E81" s="20" t="n">
        <f aca="false">IF(E70=0,0,E80/E70)</f>
        <v>0.0879592909133262</v>
      </c>
      <c r="F81" s="20" t="n">
        <f aca="false">IF(F70=0,0,F80/F70)</f>
        <v>0.0871121839048347</v>
      </c>
      <c r="G81" s="20" t="n">
        <f aca="false">IF(G70=0,0,G80/G70)</f>
        <v>0.0868206555266631</v>
      </c>
      <c r="H81" s="20" t="n">
        <f aca="false">IF(H70=0,0,H80/H70)</f>
        <v>0.0868763022521503</v>
      </c>
      <c r="I81" s="20" t="n">
        <f aca="false">IF(I70=0,0,I80/I70)</f>
        <v>0.0871413262493702</v>
      </c>
      <c r="J81" s="20" t="n">
        <f aca="false">IF(J70=0,0,J80/J70)</f>
        <v>0.0875158797033944</v>
      </c>
      <c r="K81" s="20" t="n">
        <f aca="false">IF(K70=0,0,K80/K70)</f>
        <v>0.0879014482209837</v>
      </c>
      <c r="L81" s="20" t="n">
        <f aca="false">IF(L70=0,0,L80/L70)</f>
        <v>0.0882980562934237</v>
      </c>
      <c r="M81" s="20" t="n">
        <f aca="false">IF(M70=0,0,M80/M70)</f>
        <v>0.0887057222229391</v>
      </c>
      <c r="N81" s="10" t="s">
        <v>354</v>
      </c>
      <c r="O81" s="10"/>
    </row>
    <row r="82" customFormat="false" ht="15" hidden="false" customHeight="false" outlineLevel="0" collapsed="false">
      <c r="B82" s="7" t="s">
        <v>369</v>
      </c>
      <c r="C82" s="21" t="n">
        <v>4.7</v>
      </c>
      <c r="D82" s="22" t="n">
        <f aca="false">C104*D51</f>
        <v>5.719</v>
      </c>
      <c r="E82" s="22" t="n">
        <f aca="false">D104*E51</f>
        <v>5.719</v>
      </c>
      <c r="F82" s="22" t="n">
        <f aca="false">E104*F51</f>
        <v>5.719</v>
      </c>
      <c r="G82" s="22" t="n">
        <f aca="false">F104*G51</f>
        <v>5.719</v>
      </c>
      <c r="H82" s="22" t="n">
        <f aca="false">G104*H51</f>
        <v>5.719</v>
      </c>
      <c r="I82" s="22" t="n">
        <f aca="false">H104*I51</f>
        <v>5.719</v>
      </c>
      <c r="J82" s="22" t="n">
        <f aca="false">I104*J51</f>
        <v>5.719</v>
      </c>
      <c r="K82" s="22" t="n">
        <f aca="false">J104*K51</f>
        <v>5.719</v>
      </c>
      <c r="L82" s="22" t="n">
        <f aca="false">K104*L51</f>
        <v>5.719</v>
      </c>
      <c r="M82" s="22" t="n">
        <f aca="false">L104*M51</f>
        <v>5.719</v>
      </c>
      <c r="N82" s="10" t="s">
        <v>282</v>
      </c>
      <c r="O82" s="10" t="s">
        <v>370</v>
      </c>
    </row>
    <row r="83" customFormat="false" ht="15" hidden="false" customHeight="false" outlineLevel="0" collapsed="false">
      <c r="B83" s="7" t="s">
        <v>371</v>
      </c>
      <c r="C83" s="21" t="n">
        <v>0</v>
      </c>
      <c r="D83" s="22" t="n">
        <f aca="false">C107*D52</f>
        <v>0</v>
      </c>
      <c r="E83" s="22" t="n">
        <f aca="false">D107*E52</f>
        <v>0</v>
      </c>
      <c r="F83" s="22" t="n">
        <f aca="false">E107*F52</f>
        <v>0</v>
      </c>
      <c r="G83" s="22" t="n">
        <f aca="false">F107*G52</f>
        <v>0</v>
      </c>
      <c r="H83" s="22" t="n">
        <f aca="false">G107*H52</f>
        <v>0</v>
      </c>
      <c r="I83" s="22" t="n">
        <f aca="false">H107*I52</f>
        <v>0</v>
      </c>
      <c r="J83" s="22" t="n">
        <f aca="false">I107*J52</f>
        <v>0</v>
      </c>
      <c r="K83" s="22" t="n">
        <f aca="false">J107*K52</f>
        <v>0</v>
      </c>
      <c r="L83" s="22" t="n">
        <f aca="false">K107*L52</f>
        <v>0</v>
      </c>
      <c r="M83" s="22" t="n">
        <f aca="false">L107*M52</f>
        <v>0</v>
      </c>
      <c r="N83" s="10" t="s">
        <v>282</v>
      </c>
      <c r="O83" s="10"/>
    </row>
    <row r="84" customFormat="false" ht="15" hidden="false" customHeight="false" outlineLevel="0" collapsed="false">
      <c r="B84" s="3" t="s">
        <v>372</v>
      </c>
      <c r="C84" s="27" t="n">
        <f aca="false">C80+C82-C83</f>
        <v>457.3</v>
      </c>
      <c r="D84" s="27" t="n">
        <f aca="false">D80+D82-D83</f>
        <v>606.581099434491</v>
      </c>
      <c r="E84" s="27" t="n">
        <f aca="false">E80+E82-E83</f>
        <v>572.480112400403</v>
      </c>
      <c r="F84" s="27" t="n">
        <f aca="false">F80+F82-F83</f>
        <v>574.759823572731</v>
      </c>
      <c r="G84" s="27" t="n">
        <f aca="false">G80+G82-G83</f>
        <v>582.794947368575</v>
      </c>
      <c r="H84" s="27" t="n">
        <f aca="false">H80+H82-H83</f>
        <v>594.986583058751</v>
      </c>
      <c r="I84" s="27" t="n">
        <f aca="false">I80+I82-I83</f>
        <v>609.93856581393</v>
      </c>
      <c r="J84" s="27" t="n">
        <f aca="false">J80+J82-J83</f>
        <v>626.612239208327</v>
      </c>
      <c r="K84" s="27" t="n">
        <f aca="false">K80+K82-K83</f>
        <v>643.879589554036</v>
      </c>
      <c r="L84" s="27" t="n">
        <f aca="false">L80+L82-L83</f>
        <v>661.764431173427</v>
      </c>
      <c r="M84" s="27" t="n">
        <f aca="false">M80+M82-M83</f>
        <v>680.29156295953</v>
      </c>
      <c r="N84" s="10" t="s">
        <v>282</v>
      </c>
      <c r="O84" s="10"/>
    </row>
    <row r="85" customFormat="false" ht="15" hidden="false" customHeight="false" outlineLevel="0" collapsed="false">
      <c r="B85" s="7" t="s">
        <v>373</v>
      </c>
      <c r="C85" s="20" t="n">
        <f aca="false">IF(C70=0,0,C84/C70)</f>
        <v>0.0718618392105098</v>
      </c>
      <c r="D85" s="20" t="n">
        <f aca="false">IF(D70=0,0,D84/D70)</f>
        <v>0.0950761561860967</v>
      </c>
      <c r="E85" s="20" t="n">
        <f aca="false">IF(E70=0,0,E84/E70)</f>
        <v>0.0888468591916133</v>
      </c>
      <c r="F85" s="20" t="n">
        <f aca="false">IF(F70=0,0,F84/F70)</f>
        <v>0.087987682742728</v>
      </c>
      <c r="G85" s="20" t="n">
        <f aca="false">IF(G70=0,0,G84/G70)</f>
        <v>0.0876810749068523</v>
      </c>
      <c r="H85" s="20" t="n">
        <f aca="false">IF(H70=0,0,H84/H70)</f>
        <v>0.0877194600752924</v>
      </c>
      <c r="I85" s="20" t="n">
        <f aca="false">IF(I70=0,0,I84/I70)</f>
        <v>0.0879661278165766</v>
      </c>
      <c r="J85" s="20" t="n">
        <f aca="false">IF(J70=0,0,J84/J70)</f>
        <v>0.0883219817583336</v>
      </c>
      <c r="K85" s="20" t="n">
        <f aca="false">IF(K70=0,0,K84/K70)</f>
        <v>0.088689194112229</v>
      </c>
      <c r="L85" s="20" t="n">
        <f aca="false">IF(L70=0,0,L84/L70)</f>
        <v>0.0890677843639918</v>
      </c>
      <c r="M85" s="20" t="n">
        <f aca="false">IF(M70=0,0,M84/M70)</f>
        <v>0.0894577658921439</v>
      </c>
      <c r="N85" s="10" t="s">
        <v>354</v>
      </c>
      <c r="O85" s="10"/>
    </row>
    <row r="86" customFormat="false" ht="15" hidden="false" customHeight="false" outlineLevel="0" collapsed="false">
      <c r="B86" s="7" t="s">
        <v>374</v>
      </c>
      <c r="C86" s="21" t="n">
        <v>119.1</v>
      </c>
      <c r="D86" s="22" t="n">
        <f aca="false">D84*D53</f>
        <v>145.579463864278</v>
      </c>
      <c r="E86" s="22" t="n">
        <f aca="false">E84*E53</f>
        <v>137.395226976097</v>
      </c>
      <c r="F86" s="22" t="n">
        <f aca="false">F84*F53</f>
        <v>137.942357657456</v>
      </c>
      <c r="G86" s="22" t="n">
        <f aca="false">G84*G53</f>
        <v>139.870787368458</v>
      </c>
      <c r="H86" s="22" t="n">
        <f aca="false">H84*H53</f>
        <v>142.7967799341</v>
      </c>
      <c r="I86" s="22" t="n">
        <f aca="false">I84*I53</f>
        <v>146.385255795343</v>
      </c>
      <c r="J86" s="22" t="n">
        <f aca="false">J84*J53</f>
        <v>150.386937409999</v>
      </c>
      <c r="K86" s="22" t="n">
        <f aca="false">K84*K53</f>
        <v>154.531101492969</v>
      </c>
      <c r="L86" s="22" t="n">
        <f aca="false">L84*L53</f>
        <v>158.823463481623</v>
      </c>
      <c r="M86" s="22" t="n">
        <f aca="false">M84*M53</f>
        <v>163.269975110287</v>
      </c>
      <c r="N86" s="10" t="s">
        <v>282</v>
      </c>
      <c r="O86" s="10" t="s">
        <v>375</v>
      </c>
    </row>
    <row r="87" customFormat="false" ht="15" hidden="false" customHeight="false" outlineLevel="0" collapsed="false">
      <c r="B87" s="3" t="s">
        <v>376</v>
      </c>
      <c r="C87" s="27" t="n">
        <f aca="false">C84-C86</f>
        <v>338.2</v>
      </c>
      <c r="D87" s="27" t="n">
        <f aca="false">D84-D86</f>
        <v>461.001635570213</v>
      </c>
      <c r="E87" s="27" t="n">
        <f aca="false">E84-E86</f>
        <v>435.084885424307</v>
      </c>
      <c r="F87" s="27" t="n">
        <f aca="false">F84-F86</f>
        <v>436.817465915276</v>
      </c>
      <c r="G87" s="27" t="n">
        <f aca="false">G84-G86</f>
        <v>442.924160000117</v>
      </c>
      <c r="H87" s="27" t="n">
        <f aca="false">H84-H86</f>
        <v>452.18980312465</v>
      </c>
      <c r="I87" s="27" t="n">
        <f aca="false">I84-I86</f>
        <v>463.553310018586</v>
      </c>
      <c r="J87" s="27" t="n">
        <f aca="false">J84-J86</f>
        <v>476.225301798329</v>
      </c>
      <c r="K87" s="27" t="n">
        <f aca="false">K84-K86</f>
        <v>489.348488061067</v>
      </c>
      <c r="L87" s="27" t="n">
        <f aca="false">L84-L86</f>
        <v>502.940967691805</v>
      </c>
      <c r="M87" s="27" t="n">
        <f aca="false">M84-M86</f>
        <v>517.021587849243</v>
      </c>
      <c r="N87" s="10" t="s">
        <v>282</v>
      </c>
      <c r="O87" s="10"/>
    </row>
    <row r="88" customFormat="false" ht="15" hidden="false" customHeight="false" outlineLevel="0" collapsed="false">
      <c r="B88" s="7" t="s">
        <v>377</v>
      </c>
      <c r="C88" s="20" t="n">
        <f aca="false">IF(C70=0,0,C87/C70)</f>
        <v>0.0531460179772456</v>
      </c>
      <c r="D88" s="20" t="n">
        <f aca="false">IF(D70=0,0,D87/D70)</f>
        <v>0.0722578787014335</v>
      </c>
      <c r="E88" s="20" t="n">
        <f aca="false">IF(E70=0,0,E87/E70)</f>
        <v>0.0675236129856261</v>
      </c>
      <c r="F88" s="20" t="n">
        <f aca="false">IF(F70=0,0,F87/F70)</f>
        <v>0.0668706388844733</v>
      </c>
      <c r="G88" s="20" t="n">
        <f aca="false">IF(G70=0,0,G87/G70)</f>
        <v>0.0666376169292078</v>
      </c>
      <c r="H88" s="20" t="n">
        <f aca="false">IF(H70=0,0,H87/H70)</f>
        <v>0.0666667896572222</v>
      </c>
      <c r="I88" s="20" t="n">
        <f aca="false">IF(I70=0,0,I87/I70)</f>
        <v>0.0668542571405983</v>
      </c>
      <c r="J88" s="20" t="n">
        <f aca="false">IF(J70=0,0,J87/J70)</f>
        <v>0.0671247061363335</v>
      </c>
      <c r="K88" s="20" t="n">
        <f aca="false">IF(K70=0,0,K87/K70)</f>
        <v>0.067403787525294</v>
      </c>
      <c r="L88" s="20" t="n">
        <f aca="false">IF(L70=0,0,L87/L70)</f>
        <v>0.0676915161166337</v>
      </c>
      <c r="M88" s="20" t="n">
        <f aca="false">IF(M70=0,0,M87/M70)</f>
        <v>0.0679879020780294</v>
      </c>
      <c r="N88" s="10" t="s">
        <v>354</v>
      </c>
      <c r="O88" s="10"/>
    </row>
    <row r="90" customFormat="false" ht="15" hidden="false" customHeight="false" outlineLevel="0" collapsed="false">
      <c r="A90" s="23" t="s">
        <v>172</v>
      </c>
      <c r="B90" s="24" t="s">
        <v>378</v>
      </c>
      <c r="C90" s="25"/>
      <c r="D90" s="25"/>
      <c r="E90" s="25"/>
      <c r="F90" s="25"/>
      <c r="G90" s="25"/>
      <c r="H90" s="25"/>
      <c r="I90" s="25"/>
      <c r="J90" s="25"/>
      <c r="K90" s="25"/>
      <c r="L90" s="25"/>
      <c r="M90" s="25"/>
      <c r="N90" s="25"/>
      <c r="O90" s="25"/>
    </row>
    <row r="91" customFormat="false" ht="15" hidden="false" customHeight="false" outlineLevel="0" collapsed="false">
      <c r="B91" s="7" t="s">
        <v>379</v>
      </c>
      <c r="C91" s="22" t="n">
        <f aca="false">C87</f>
        <v>338.2</v>
      </c>
      <c r="D91" s="22" t="n">
        <f aca="false">D87</f>
        <v>461.001635570213</v>
      </c>
      <c r="E91" s="22" t="n">
        <f aca="false">E87</f>
        <v>435.084885424307</v>
      </c>
      <c r="F91" s="22" t="n">
        <f aca="false">F87</f>
        <v>436.817465915276</v>
      </c>
      <c r="G91" s="22" t="n">
        <f aca="false">G87</f>
        <v>442.924160000117</v>
      </c>
      <c r="H91" s="22" t="n">
        <f aca="false">H87</f>
        <v>452.18980312465</v>
      </c>
      <c r="I91" s="22" t="n">
        <f aca="false">I87</f>
        <v>463.553310018586</v>
      </c>
      <c r="J91" s="22" t="n">
        <f aca="false">J87</f>
        <v>476.225301798329</v>
      </c>
      <c r="K91" s="22" t="n">
        <f aca="false">K87</f>
        <v>489.348488061067</v>
      </c>
      <c r="L91" s="22" t="n">
        <f aca="false">L87</f>
        <v>502.940967691805</v>
      </c>
      <c r="M91" s="22" t="n">
        <f aca="false">M87</f>
        <v>517.021587849243</v>
      </c>
      <c r="N91" s="10" t="s">
        <v>282</v>
      </c>
      <c r="O91" s="10" t="s">
        <v>380</v>
      </c>
    </row>
    <row r="92" customFormat="false" ht="15" hidden="false" customHeight="false" outlineLevel="0" collapsed="false">
      <c r="B92" s="7" t="s">
        <v>381</v>
      </c>
      <c r="C92" s="22" t="n">
        <f aca="false">C87-C91</f>
        <v>0</v>
      </c>
      <c r="D92" s="22" t="n">
        <f aca="false">D87-D91</f>
        <v>0</v>
      </c>
      <c r="E92" s="22" t="n">
        <f aca="false">E87-E91</f>
        <v>0</v>
      </c>
      <c r="F92" s="22" t="n">
        <f aca="false">F87-F91</f>
        <v>0</v>
      </c>
      <c r="G92" s="22" t="n">
        <f aca="false">G87-G91</f>
        <v>0</v>
      </c>
      <c r="H92" s="22" t="n">
        <f aca="false">H87-H91</f>
        <v>0</v>
      </c>
      <c r="I92" s="22" t="n">
        <f aca="false">I87-I91</f>
        <v>0</v>
      </c>
      <c r="J92" s="22" t="n">
        <f aca="false">J87-J91</f>
        <v>0</v>
      </c>
      <c r="K92" s="22" t="n">
        <f aca="false">K87-K91</f>
        <v>0</v>
      </c>
      <c r="L92" s="22" t="n">
        <f aca="false">L87-L91</f>
        <v>0</v>
      </c>
      <c r="M92" s="22" t="n">
        <f aca="false">M87-M91</f>
        <v>0</v>
      </c>
      <c r="N92" s="10" t="s">
        <v>282</v>
      </c>
      <c r="O92" s="10" t="s">
        <v>382</v>
      </c>
    </row>
    <row r="93" customFormat="false" ht="15" hidden="false" customHeight="false" outlineLevel="0" collapsed="false">
      <c r="B93" s="7" t="s">
        <v>383</v>
      </c>
      <c r="D93" s="22" t="n">
        <f aca="false">D91</f>
        <v>461.001635570213</v>
      </c>
      <c r="E93" s="22" t="n">
        <f aca="false">E91</f>
        <v>435.084885424307</v>
      </c>
      <c r="F93" s="22" t="n">
        <f aca="false">F91</f>
        <v>436.817465915276</v>
      </c>
      <c r="G93" s="22" t="n">
        <f aca="false">G91</f>
        <v>442.924160000117</v>
      </c>
      <c r="H93" s="22" t="n">
        <f aca="false">H91</f>
        <v>452.18980312465</v>
      </c>
      <c r="I93" s="22" t="n">
        <f aca="false">I91</f>
        <v>463.553310018586</v>
      </c>
      <c r="J93" s="22" t="n">
        <f aca="false">J91</f>
        <v>476.225301798329</v>
      </c>
      <c r="K93" s="22" t="n">
        <f aca="false">K91</f>
        <v>489.348488061067</v>
      </c>
      <c r="L93" s="22" t="n">
        <f aca="false">L91</f>
        <v>502.940967691805</v>
      </c>
      <c r="M93" s="22" t="n">
        <f aca="false">M91</f>
        <v>517.021587849243</v>
      </c>
      <c r="N93" s="10" t="s">
        <v>282</v>
      </c>
      <c r="O93" s="10"/>
    </row>
    <row r="94" customFormat="false" ht="15" hidden="false" customHeight="false" outlineLevel="0" collapsed="false">
      <c r="B94" s="7" t="s">
        <v>384</v>
      </c>
      <c r="C94" s="20" t="n">
        <f aca="false">D54</f>
        <v>0.105</v>
      </c>
      <c r="N94" s="10" t="s">
        <v>354</v>
      </c>
      <c r="O94" s="10" t="s">
        <v>385</v>
      </c>
    </row>
    <row r="95" customFormat="false" ht="15" hidden="false" customHeight="false" outlineLevel="0" collapsed="false">
      <c r="B95" s="7" t="s">
        <v>386</v>
      </c>
      <c r="C95" s="22" t="n">
        <f aca="false">M110</f>
        <v>1836.3</v>
      </c>
      <c r="N95" s="10" t="s">
        <v>282</v>
      </c>
      <c r="O95" s="10"/>
    </row>
    <row r="96" customFormat="false" ht="15" hidden="false" customHeight="false" outlineLevel="0" collapsed="false">
      <c r="B96" s="7" t="s">
        <v>387</v>
      </c>
      <c r="C96" s="22" t="n">
        <f aca="false">NPV(C94,D93:M93)</f>
        <v>2775.63436046617</v>
      </c>
      <c r="N96" s="10" t="s">
        <v>282</v>
      </c>
      <c r="O96" s="10" t="s">
        <v>388</v>
      </c>
    </row>
    <row r="97" customFormat="false" ht="15" hidden="false" customHeight="false" outlineLevel="0" collapsed="false">
      <c r="B97" s="7" t="s">
        <v>389</v>
      </c>
      <c r="C97" s="22" t="n">
        <f aca="false">C95/(1+C94)^10</f>
        <v>676.582645758256</v>
      </c>
      <c r="N97" s="10" t="s">
        <v>282</v>
      </c>
      <c r="O97" s="10" t="s">
        <v>390</v>
      </c>
    </row>
    <row r="98" customFormat="false" ht="15" hidden="false" customHeight="false" outlineLevel="0" collapsed="false">
      <c r="B98" s="3" t="s">
        <v>391</v>
      </c>
      <c r="C98" s="28" t="n">
        <v>3452.22</v>
      </c>
      <c r="N98" s="10" t="s">
        <v>282</v>
      </c>
      <c r="O98" s="10" t="s">
        <v>392</v>
      </c>
    </row>
    <row r="99" customFormat="false" ht="15" hidden="false" customHeight="false" outlineLevel="0" collapsed="false">
      <c r="B99" s="3" t="s">
        <v>393</v>
      </c>
      <c r="C99" s="27" t="n">
        <f aca="false">C96+C97</f>
        <v>3452.21700622443</v>
      </c>
      <c r="N99" s="10" t="s">
        <v>282</v>
      </c>
      <c r="O99" s="10" t="s">
        <v>394</v>
      </c>
    </row>
    <row r="100" customFormat="false" ht="15" hidden="false" customHeight="false" outlineLevel="0" collapsed="false">
      <c r="B100" s="7" t="s">
        <v>395</v>
      </c>
      <c r="C100" s="20" t="n">
        <f aca="false">IF(C98=0,0,C99/C98-1)</f>
        <v>-8.67203008847461E-007</v>
      </c>
      <c r="N100" s="10" t="s">
        <v>354</v>
      </c>
      <c r="O100" s="10"/>
    </row>
    <row r="101" customFormat="false" ht="15" hidden="false" customHeight="false" outlineLevel="0" collapsed="false">
      <c r="B101" s="7" t="s">
        <v>396</v>
      </c>
      <c r="C101" s="22" t="n">
        <f aca="false">C99-C98</f>
        <v>-0.00299377557121261</v>
      </c>
      <c r="N101" s="10" t="s">
        <v>282</v>
      </c>
      <c r="O101" s="10"/>
    </row>
    <row r="103" customFormat="false" ht="15" hidden="false" customHeight="false" outlineLevel="0" collapsed="false">
      <c r="A103" s="23" t="s">
        <v>149</v>
      </c>
      <c r="B103" s="24" t="s">
        <v>397</v>
      </c>
      <c r="C103" s="25"/>
      <c r="D103" s="25"/>
      <c r="E103" s="25"/>
      <c r="F103" s="25"/>
      <c r="G103" s="25"/>
      <c r="H103" s="25"/>
      <c r="I103" s="25"/>
      <c r="J103" s="25"/>
      <c r="K103" s="25"/>
      <c r="L103" s="25"/>
      <c r="M103" s="25"/>
      <c r="N103" s="25"/>
      <c r="O103" s="25"/>
    </row>
    <row r="104" customFormat="false" ht="15" hidden="false" customHeight="false" outlineLevel="0" collapsed="false">
      <c r="B104" s="7" t="s">
        <v>398</v>
      </c>
      <c r="C104" s="21" t="n">
        <v>817</v>
      </c>
      <c r="D104" s="22" t="n">
        <f aca="false">C104+D92</f>
        <v>817</v>
      </c>
      <c r="E104" s="22" t="n">
        <f aca="false">D104+E92</f>
        <v>817</v>
      </c>
      <c r="F104" s="22" t="n">
        <f aca="false">E104+F92</f>
        <v>817</v>
      </c>
      <c r="G104" s="22" t="n">
        <f aca="false">F104+G92</f>
        <v>817</v>
      </c>
      <c r="H104" s="22" t="n">
        <f aca="false">G104+H92</f>
        <v>817</v>
      </c>
      <c r="I104" s="22" t="n">
        <f aca="false">H104+I92</f>
        <v>817</v>
      </c>
      <c r="J104" s="22" t="n">
        <f aca="false">I104+J92</f>
        <v>817</v>
      </c>
      <c r="K104" s="22" t="n">
        <f aca="false">J104+K92</f>
        <v>817</v>
      </c>
      <c r="L104" s="22" t="n">
        <f aca="false">K104+L92</f>
        <v>817</v>
      </c>
      <c r="M104" s="22" t="n">
        <f aca="false">L104+M92</f>
        <v>817</v>
      </c>
      <c r="N104" s="10" t="s">
        <v>282</v>
      </c>
      <c r="O104" s="10" t="s">
        <v>399</v>
      </c>
    </row>
    <row r="105" customFormat="false" ht="15" hidden="false" customHeight="false" outlineLevel="0" collapsed="false">
      <c r="B105" s="7" t="s">
        <v>400</v>
      </c>
      <c r="C105" s="21" t="n">
        <v>1812</v>
      </c>
      <c r="D105" s="22" t="n">
        <f aca="false">C105</f>
        <v>1812</v>
      </c>
      <c r="E105" s="22" t="n">
        <f aca="false">D105</f>
        <v>1812</v>
      </c>
      <c r="F105" s="22" t="n">
        <f aca="false">E105</f>
        <v>1812</v>
      </c>
      <c r="G105" s="22" t="n">
        <f aca="false">F105</f>
        <v>1812</v>
      </c>
      <c r="H105" s="22" t="n">
        <f aca="false">G105</f>
        <v>1812</v>
      </c>
      <c r="I105" s="22" t="n">
        <f aca="false">H105</f>
        <v>1812</v>
      </c>
      <c r="J105" s="22" t="n">
        <f aca="false">I105</f>
        <v>1812</v>
      </c>
      <c r="K105" s="22" t="n">
        <f aca="false">J105</f>
        <v>1812</v>
      </c>
      <c r="L105" s="22" t="n">
        <f aca="false">K105</f>
        <v>1812</v>
      </c>
      <c r="M105" s="22" t="n">
        <f aca="false">L105</f>
        <v>1812</v>
      </c>
      <c r="N105" s="10" t="s">
        <v>282</v>
      </c>
      <c r="O105" s="10" t="s">
        <v>401</v>
      </c>
    </row>
    <row r="106" customFormat="false" ht="15" hidden="false" customHeight="false" outlineLevel="0" collapsed="false">
      <c r="B106" s="3" t="s">
        <v>402</v>
      </c>
      <c r="C106" s="27" t="n">
        <f aca="false">C104+C105</f>
        <v>2629</v>
      </c>
      <c r="D106" s="27" t="n">
        <f aca="false">D104+D105</f>
        <v>2629</v>
      </c>
      <c r="E106" s="27" t="n">
        <f aca="false">E104+E105</f>
        <v>2629</v>
      </c>
      <c r="F106" s="27" t="n">
        <f aca="false">F104+F105</f>
        <v>2629</v>
      </c>
      <c r="G106" s="27" t="n">
        <f aca="false">G104+G105</f>
        <v>2629</v>
      </c>
      <c r="H106" s="27" t="n">
        <f aca="false">H104+H105</f>
        <v>2629</v>
      </c>
      <c r="I106" s="27" t="n">
        <f aca="false">I104+I105</f>
        <v>2629</v>
      </c>
      <c r="J106" s="27" t="n">
        <f aca="false">J104+J105</f>
        <v>2629</v>
      </c>
      <c r="K106" s="27" t="n">
        <f aca="false">K104+K105</f>
        <v>2629</v>
      </c>
      <c r="L106" s="27" t="n">
        <f aca="false">L104+L105</f>
        <v>2629</v>
      </c>
      <c r="M106" s="27" t="n">
        <f aca="false">M104+M105</f>
        <v>2629</v>
      </c>
      <c r="N106" s="10" t="s">
        <v>282</v>
      </c>
      <c r="O106" s="10"/>
    </row>
    <row r="107" customFormat="false" ht="15" hidden="false" customHeight="false" outlineLevel="0" collapsed="false">
      <c r="B107" s="7" t="s">
        <v>403</v>
      </c>
      <c r="C107" s="21" t="n">
        <v>0</v>
      </c>
      <c r="D107" s="22" t="n">
        <f aca="false">C107</f>
        <v>0</v>
      </c>
      <c r="E107" s="22" t="n">
        <f aca="false">D107</f>
        <v>0</v>
      </c>
      <c r="F107" s="22" t="n">
        <f aca="false">E107</f>
        <v>0</v>
      </c>
      <c r="G107" s="22" t="n">
        <f aca="false">F107</f>
        <v>0</v>
      </c>
      <c r="H107" s="22" t="n">
        <f aca="false">G107</f>
        <v>0</v>
      </c>
      <c r="I107" s="22" t="n">
        <f aca="false">H107</f>
        <v>0</v>
      </c>
      <c r="J107" s="22" t="n">
        <f aca="false">I107</f>
        <v>0</v>
      </c>
      <c r="K107" s="22" t="n">
        <f aca="false">J107</f>
        <v>0</v>
      </c>
      <c r="L107" s="22" t="n">
        <f aca="false">K107</f>
        <v>0</v>
      </c>
      <c r="M107" s="22" t="n">
        <f aca="false">L107</f>
        <v>0</v>
      </c>
      <c r="N107" s="10" t="s">
        <v>282</v>
      </c>
      <c r="O107" s="10"/>
    </row>
    <row r="108" customFormat="false" ht="15" hidden="false" customHeight="false" outlineLevel="0" collapsed="false">
      <c r="B108" s="7" t="s">
        <v>404</v>
      </c>
      <c r="C108" s="21" t="n">
        <v>792.7</v>
      </c>
      <c r="D108" s="22" t="n">
        <f aca="false">C108</f>
        <v>792.7</v>
      </c>
      <c r="E108" s="22" t="n">
        <f aca="false">D108</f>
        <v>792.7</v>
      </c>
      <c r="F108" s="22" t="n">
        <f aca="false">E108</f>
        <v>792.7</v>
      </c>
      <c r="G108" s="22" t="n">
        <f aca="false">F108</f>
        <v>792.7</v>
      </c>
      <c r="H108" s="22" t="n">
        <f aca="false">G108</f>
        <v>792.7</v>
      </c>
      <c r="I108" s="22" t="n">
        <f aca="false">H108</f>
        <v>792.7</v>
      </c>
      <c r="J108" s="22" t="n">
        <f aca="false">I108</f>
        <v>792.7</v>
      </c>
      <c r="K108" s="22" t="n">
        <f aca="false">J108</f>
        <v>792.7</v>
      </c>
      <c r="L108" s="22" t="n">
        <f aca="false">K108</f>
        <v>792.7</v>
      </c>
      <c r="M108" s="22" t="n">
        <f aca="false">L108</f>
        <v>792.7</v>
      </c>
      <c r="N108" s="10" t="s">
        <v>282</v>
      </c>
      <c r="O108" s="10" t="s">
        <v>405</v>
      </c>
    </row>
    <row r="109" customFormat="false" ht="15" hidden="false" customHeight="false" outlineLevel="0" collapsed="false">
      <c r="B109" s="3" t="s">
        <v>406</v>
      </c>
      <c r="C109" s="27" t="n">
        <f aca="false">C107+C108</f>
        <v>792.7</v>
      </c>
      <c r="D109" s="27" t="n">
        <f aca="false">D107+D108</f>
        <v>792.7</v>
      </c>
      <c r="E109" s="27" t="n">
        <f aca="false">E107+E108</f>
        <v>792.7</v>
      </c>
      <c r="F109" s="27" t="n">
        <f aca="false">F107+F108</f>
        <v>792.7</v>
      </c>
      <c r="G109" s="27" t="n">
        <f aca="false">G107+G108</f>
        <v>792.7</v>
      </c>
      <c r="H109" s="27" t="n">
        <f aca="false">H107+H108</f>
        <v>792.7</v>
      </c>
      <c r="I109" s="27" t="n">
        <f aca="false">I107+I108</f>
        <v>792.7</v>
      </c>
      <c r="J109" s="27" t="n">
        <f aca="false">J107+J108</f>
        <v>792.7</v>
      </c>
      <c r="K109" s="27" t="n">
        <f aca="false">K107+K108</f>
        <v>792.7</v>
      </c>
      <c r="L109" s="27" t="n">
        <f aca="false">L107+L108</f>
        <v>792.7</v>
      </c>
      <c r="M109" s="27" t="n">
        <f aca="false">M107+M108</f>
        <v>792.7</v>
      </c>
      <c r="N109" s="10" t="s">
        <v>282</v>
      </c>
      <c r="O109" s="10"/>
    </row>
    <row r="110" customFormat="false" ht="15" hidden="false" customHeight="false" outlineLevel="0" collapsed="false">
      <c r="B110" s="3" t="s">
        <v>407</v>
      </c>
      <c r="C110" s="27" t="n">
        <f aca="false">C106-C109</f>
        <v>1836.3</v>
      </c>
      <c r="D110" s="27" t="n">
        <f aca="false">D106-D109</f>
        <v>1836.3</v>
      </c>
      <c r="E110" s="27" t="n">
        <f aca="false">E106-E109</f>
        <v>1836.3</v>
      </c>
      <c r="F110" s="27" t="n">
        <f aca="false">F106-F109</f>
        <v>1836.3</v>
      </c>
      <c r="G110" s="27" t="n">
        <f aca="false">G106-G109</f>
        <v>1836.3</v>
      </c>
      <c r="H110" s="27" t="n">
        <f aca="false">H106-H109</f>
        <v>1836.3</v>
      </c>
      <c r="I110" s="27" t="n">
        <f aca="false">I106-I109</f>
        <v>1836.3</v>
      </c>
      <c r="J110" s="27" t="n">
        <f aca="false">J106-J109</f>
        <v>1836.3</v>
      </c>
      <c r="K110" s="27" t="n">
        <f aca="false">K106-K109</f>
        <v>1836.3</v>
      </c>
      <c r="L110" s="27" t="n">
        <f aca="false">L106-L109</f>
        <v>1836.3</v>
      </c>
      <c r="M110" s="27" t="n">
        <f aca="false">M106-M109</f>
        <v>1836.3</v>
      </c>
      <c r="N110" s="10" t="s">
        <v>282</v>
      </c>
      <c r="O110" s="10" t="s">
        <v>408</v>
      </c>
    </row>
    <row r="111" customFormat="false" ht="15" hidden="false" customHeight="false" outlineLevel="0" collapsed="false">
      <c r="B111" s="7" t="s">
        <v>409</v>
      </c>
      <c r="D111" s="22" t="n">
        <f aca="false">D110-(C110+D87-D91)</f>
        <v>0</v>
      </c>
      <c r="E111" s="22" t="n">
        <f aca="false">E110-(D110+E87-E91)</f>
        <v>0</v>
      </c>
      <c r="F111" s="22" t="n">
        <f aca="false">F110-(E110+F87-F91)</f>
        <v>0</v>
      </c>
      <c r="G111" s="22" t="n">
        <f aca="false">G110-(F110+G87-G91)</f>
        <v>0</v>
      </c>
      <c r="H111" s="22" t="n">
        <f aca="false">H110-(G110+H87-H91)</f>
        <v>0</v>
      </c>
      <c r="I111" s="22" t="n">
        <f aca="false">I110-(H110+I87-I91)</f>
        <v>0</v>
      </c>
      <c r="J111" s="22" t="n">
        <f aca="false">J110-(I110+J87-J91)</f>
        <v>0</v>
      </c>
      <c r="K111" s="22" t="n">
        <f aca="false">K110-(J110+K87-K91)</f>
        <v>0</v>
      </c>
      <c r="L111" s="22" t="n">
        <f aca="false">L110-(K110+L87-L91)</f>
        <v>0</v>
      </c>
      <c r="M111" s="22" t="n">
        <f aca="false">M110-(L110+M87-M91)</f>
        <v>0</v>
      </c>
      <c r="N111" s="10" t="s">
        <v>282</v>
      </c>
      <c r="O111" s="10"/>
    </row>
    <row r="112" customFormat="false" ht="15" hidden="false" customHeight="false" outlineLevel="0" collapsed="false">
      <c r="B112" s="7" t="s">
        <v>410</v>
      </c>
      <c r="C112" s="22" t="n">
        <f aca="false">C106-C109-C110</f>
        <v>0</v>
      </c>
      <c r="D112" s="22" t="n">
        <f aca="false">D106-D109-D110</f>
        <v>0</v>
      </c>
      <c r="E112" s="22" t="n">
        <f aca="false">E106-E109-E110</f>
        <v>0</v>
      </c>
      <c r="F112" s="22" t="n">
        <f aca="false">F106-F109-F110</f>
        <v>0</v>
      </c>
      <c r="G112" s="22" t="n">
        <f aca="false">G106-G109-G110</f>
        <v>0</v>
      </c>
      <c r="H112" s="22" t="n">
        <f aca="false">H106-H109-H110</f>
        <v>0</v>
      </c>
      <c r="I112" s="22" t="n">
        <f aca="false">I106-I109-I110</f>
        <v>0</v>
      </c>
      <c r="J112" s="22" t="n">
        <f aca="false">J106-J109-J110</f>
        <v>0</v>
      </c>
      <c r="K112" s="22" t="n">
        <f aca="false">K106-K109-K110</f>
        <v>0</v>
      </c>
      <c r="L112" s="22" t="n">
        <f aca="false">L106-L109-L110</f>
        <v>0</v>
      </c>
      <c r="M112" s="22" t="n">
        <f aca="false">M106-M109-M110</f>
        <v>0</v>
      </c>
      <c r="N112" s="10" t="s">
        <v>282</v>
      </c>
      <c r="O112" s="10"/>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6"/>
    <col collapsed="false" customWidth="true" hidden="false" outlineLevel="0" max="3" min="3" style="0" width="17"/>
    <col collapsed="false" customWidth="true" hidden="false" outlineLevel="0" max="13" min="4" style="0" width="11.5"/>
    <col collapsed="false" customWidth="true" hidden="false" outlineLevel="0" max="14" min="14" style="0" width="17"/>
    <col collapsed="false" customWidth="true" hidden="false" outlineLevel="0" max="15" min="15" style="0" width="60"/>
  </cols>
  <sheetData>
    <row r="1" customFormat="false" ht="17.35" hidden="false" customHeight="false" outlineLevel="0" collapsed="false">
      <c r="A1" s="1" t="s">
        <v>411</v>
      </c>
    </row>
    <row r="2" customFormat="false" ht="15" hidden="false" customHeight="false" outlineLevel="0" collapsed="false">
      <c r="A2" s="10" t="s">
        <v>412</v>
      </c>
    </row>
    <row r="3" customFormat="false" ht="15" hidden="false" customHeight="false" outlineLevel="0" collapsed="false">
      <c r="A3" s="11" t="s">
        <v>243</v>
      </c>
      <c r="B3" s="11" t="s">
        <v>244</v>
      </c>
      <c r="C3" s="16" t="s">
        <v>245</v>
      </c>
      <c r="D3" s="16" t="s">
        <v>246</v>
      </c>
      <c r="E3" s="16" t="s">
        <v>247</v>
      </c>
      <c r="F3" s="16" t="s">
        <v>248</v>
      </c>
      <c r="G3" s="16" t="s">
        <v>249</v>
      </c>
      <c r="H3" s="16" t="s">
        <v>250</v>
      </c>
      <c r="I3" s="16" t="s">
        <v>251</v>
      </c>
      <c r="J3" s="16" t="s">
        <v>252</v>
      </c>
      <c r="K3" s="16" t="s">
        <v>253</v>
      </c>
      <c r="L3" s="16" t="s">
        <v>254</v>
      </c>
      <c r="M3" s="16" t="s">
        <v>255</v>
      </c>
      <c r="N3" s="11" t="s">
        <v>256</v>
      </c>
      <c r="O3" s="11" t="s">
        <v>257</v>
      </c>
    </row>
    <row r="5" customFormat="false" ht="15" hidden="false" customHeight="false" outlineLevel="0" collapsed="false">
      <c r="A5" s="12" t="s">
        <v>258</v>
      </c>
      <c r="B5" s="13"/>
      <c r="C5" s="13"/>
      <c r="D5" s="13"/>
      <c r="E5" s="13"/>
      <c r="F5" s="13"/>
      <c r="G5" s="13"/>
      <c r="H5" s="13"/>
      <c r="I5" s="13"/>
      <c r="J5" s="13"/>
      <c r="K5" s="13"/>
      <c r="L5" s="13"/>
      <c r="M5" s="13"/>
      <c r="N5" s="13"/>
      <c r="O5" s="13"/>
    </row>
    <row r="6" customFormat="false" ht="15" hidden="false" customHeight="false" outlineLevel="0" collapsed="false">
      <c r="A6" s="10" t="s">
        <v>259</v>
      </c>
      <c r="B6" s="7" t="s">
        <v>260</v>
      </c>
      <c r="C6" s="17" t="n">
        <f aca="false">C59</f>
        <v>0</v>
      </c>
      <c r="D6" s="18" t="n">
        <v>2</v>
      </c>
      <c r="E6" s="17" t="n">
        <f aca="false">D6</f>
        <v>2</v>
      </c>
      <c r="F6" s="17" t="n">
        <f aca="false">E6</f>
        <v>2</v>
      </c>
      <c r="G6" s="17" t="n">
        <f aca="false">F6</f>
        <v>2</v>
      </c>
      <c r="H6" s="17" t="n">
        <f aca="false">G6</f>
        <v>2</v>
      </c>
      <c r="I6" s="17" t="n">
        <f aca="false">H6</f>
        <v>2</v>
      </c>
      <c r="J6" s="17" t="n">
        <f aca="false">I6</f>
        <v>2</v>
      </c>
      <c r="K6" s="17" t="n">
        <f aca="false">J6</f>
        <v>2</v>
      </c>
      <c r="L6" s="17" t="n">
        <f aca="false">K6</f>
        <v>2</v>
      </c>
      <c r="M6" s="17" t="n">
        <f aca="false">L6</f>
        <v>2</v>
      </c>
      <c r="N6" s="10" t="s">
        <v>261</v>
      </c>
      <c r="O6" s="10" t="s">
        <v>262</v>
      </c>
    </row>
    <row r="7" customFormat="false" ht="15" hidden="false" customHeight="false" outlineLevel="0" collapsed="false">
      <c r="A7" s="10" t="s">
        <v>259</v>
      </c>
      <c r="B7" s="7" t="s">
        <v>263</v>
      </c>
      <c r="C7" s="17" t="n">
        <f aca="false">C60</f>
        <v>10</v>
      </c>
      <c r="D7" s="18" t="n">
        <v>4</v>
      </c>
      <c r="E7" s="18" t="n">
        <v>5</v>
      </c>
      <c r="F7" s="17" t="n">
        <f aca="false">E7</f>
        <v>5</v>
      </c>
      <c r="G7" s="17" t="n">
        <f aca="false">F7</f>
        <v>5</v>
      </c>
      <c r="H7" s="17" t="n">
        <f aca="false">G7</f>
        <v>5</v>
      </c>
      <c r="I7" s="18" t="n">
        <v>4</v>
      </c>
      <c r="J7" s="17" t="n">
        <f aca="false">I7</f>
        <v>4</v>
      </c>
      <c r="K7" s="17" t="n">
        <f aca="false">J7</f>
        <v>4</v>
      </c>
      <c r="L7" s="17" t="n">
        <f aca="false">K7</f>
        <v>4</v>
      </c>
      <c r="M7" s="17" t="n">
        <f aca="false">L7</f>
        <v>4</v>
      </c>
      <c r="N7" s="10" t="s">
        <v>261</v>
      </c>
      <c r="O7" s="10" t="s">
        <v>264</v>
      </c>
    </row>
    <row r="8" customFormat="false" ht="15" hidden="false" customHeight="false" outlineLevel="0" collapsed="false">
      <c r="A8" s="10" t="s">
        <v>259</v>
      </c>
      <c r="B8" s="7" t="s">
        <v>265</v>
      </c>
      <c r="C8" s="19" t="n">
        <v>0.026</v>
      </c>
      <c r="D8" s="19" t="n">
        <v>0.02</v>
      </c>
      <c r="E8" s="20" t="n">
        <f aca="false">D8</f>
        <v>0.02</v>
      </c>
      <c r="F8" s="20" t="n">
        <f aca="false">E8</f>
        <v>0.02</v>
      </c>
      <c r="G8" s="20" t="n">
        <f aca="false">F8</f>
        <v>0.02</v>
      </c>
      <c r="H8" s="20" t="n">
        <f aca="false">G8</f>
        <v>0.02</v>
      </c>
      <c r="I8" s="20" t="n">
        <f aca="false">H8</f>
        <v>0.02</v>
      </c>
      <c r="J8" s="20" t="n">
        <f aca="false">I8</f>
        <v>0.02</v>
      </c>
      <c r="K8" s="20" t="n">
        <f aca="false">J8</f>
        <v>0.02</v>
      </c>
      <c r="L8" s="20" t="n">
        <f aca="false">K8</f>
        <v>0.02</v>
      </c>
      <c r="M8" s="20" t="n">
        <f aca="false">L8</f>
        <v>0.02</v>
      </c>
      <c r="N8" s="10" t="s">
        <v>266</v>
      </c>
      <c r="O8" s="10" t="s">
        <v>267</v>
      </c>
    </row>
    <row r="9" customFormat="false" ht="15" hidden="false" customHeight="false" outlineLevel="0" collapsed="false">
      <c r="A9" s="10" t="s">
        <v>259</v>
      </c>
      <c r="B9" s="7" t="s">
        <v>78</v>
      </c>
      <c r="D9" s="19" t="n">
        <v>0.03</v>
      </c>
      <c r="E9" s="20" t="n">
        <f aca="false">D9</f>
        <v>0.03</v>
      </c>
      <c r="F9" s="20" t="n">
        <f aca="false">E9</f>
        <v>0.03</v>
      </c>
      <c r="G9" s="20" t="n">
        <f aca="false">F9</f>
        <v>0.03</v>
      </c>
      <c r="H9" s="20" t="n">
        <f aca="false">G9</f>
        <v>0.03</v>
      </c>
      <c r="I9" s="20" t="n">
        <f aca="false">H9</f>
        <v>0.03</v>
      </c>
      <c r="J9" s="20" t="n">
        <f aca="false">I9</f>
        <v>0.03</v>
      </c>
      <c r="K9" s="20" t="n">
        <f aca="false">J9</f>
        <v>0.03</v>
      </c>
      <c r="L9" s="20" t="n">
        <f aca="false">K9</f>
        <v>0.03</v>
      </c>
      <c r="M9" s="20" t="n">
        <f aca="false">L9</f>
        <v>0.03</v>
      </c>
      <c r="N9" s="10" t="s">
        <v>266</v>
      </c>
      <c r="O9" s="10" t="s">
        <v>268</v>
      </c>
    </row>
    <row r="10" customFormat="false" ht="15" hidden="false" customHeight="false" outlineLevel="0" collapsed="false">
      <c r="A10" s="10" t="s">
        <v>259</v>
      </c>
      <c r="B10" s="7" t="s">
        <v>269</v>
      </c>
      <c r="C10" s="20" t="n">
        <f aca="false">IF(C66+C67=0,0,C68/(C66+C67))</f>
        <v>0.110990795885219</v>
      </c>
      <c r="D10" s="19" t="n">
        <v>0.111</v>
      </c>
      <c r="E10" s="20" t="n">
        <f aca="false">D10</f>
        <v>0.111</v>
      </c>
      <c r="F10" s="20" t="n">
        <f aca="false">E10</f>
        <v>0.111</v>
      </c>
      <c r="G10" s="20" t="n">
        <f aca="false">F10</f>
        <v>0.111</v>
      </c>
      <c r="H10" s="20" t="n">
        <f aca="false">G10</f>
        <v>0.111</v>
      </c>
      <c r="I10" s="20" t="n">
        <f aca="false">H10</f>
        <v>0.111</v>
      </c>
      <c r="J10" s="20" t="n">
        <f aca="false">I10</f>
        <v>0.111</v>
      </c>
      <c r="K10" s="20" t="n">
        <f aca="false">J10</f>
        <v>0.111</v>
      </c>
      <c r="L10" s="20" t="n">
        <f aca="false">K10</f>
        <v>0.111</v>
      </c>
      <c r="M10" s="20" t="n">
        <f aca="false">L10</f>
        <v>0.111</v>
      </c>
      <c r="N10" s="10" t="s">
        <v>270</v>
      </c>
      <c r="O10" s="10" t="s">
        <v>271</v>
      </c>
    </row>
    <row r="11" customFormat="false" ht="15" hidden="false" customHeight="false" outlineLevel="0" collapsed="false">
      <c r="A11" s="10" t="s">
        <v>259</v>
      </c>
      <c r="B11" s="7" t="s">
        <v>272</v>
      </c>
      <c r="D11" s="19" t="n">
        <v>0</v>
      </c>
      <c r="E11" s="20" t="n">
        <f aca="false">D11</f>
        <v>0</v>
      </c>
      <c r="F11" s="20" t="n">
        <f aca="false">E11</f>
        <v>0</v>
      </c>
      <c r="G11" s="20" t="n">
        <f aca="false">F11</f>
        <v>0</v>
      </c>
      <c r="H11" s="20" t="n">
        <f aca="false">G11</f>
        <v>0</v>
      </c>
      <c r="I11" s="20" t="n">
        <f aca="false">H11</f>
        <v>0</v>
      </c>
      <c r="J11" s="20" t="n">
        <f aca="false">I11</f>
        <v>0</v>
      </c>
      <c r="K11" s="20" t="n">
        <f aca="false">J11</f>
        <v>0</v>
      </c>
      <c r="L11" s="20" t="n">
        <f aca="false">K11</f>
        <v>0</v>
      </c>
      <c r="M11" s="20" t="n">
        <f aca="false">L11</f>
        <v>0</v>
      </c>
      <c r="N11" s="10" t="s">
        <v>266</v>
      </c>
      <c r="O11" s="10" t="s">
        <v>273</v>
      </c>
    </row>
    <row r="12" customFormat="false" ht="15" hidden="false" customHeight="false" outlineLevel="0" collapsed="false">
      <c r="A12" s="10" t="s">
        <v>259</v>
      </c>
      <c r="B12" s="7" t="s">
        <v>274</v>
      </c>
      <c r="C12" s="20" t="n">
        <f aca="false">IF(C70=0,0,C72/C70)</f>
        <v>0.680068226120858</v>
      </c>
      <c r="D12" s="19" t="n">
        <v>0.68</v>
      </c>
      <c r="E12" s="20" t="n">
        <f aca="false">D12</f>
        <v>0.68</v>
      </c>
      <c r="F12" s="20" t="n">
        <f aca="false">E12</f>
        <v>0.68</v>
      </c>
      <c r="G12" s="20" t="n">
        <f aca="false">F12</f>
        <v>0.68</v>
      </c>
      <c r="H12" s="20" t="n">
        <f aca="false">G12</f>
        <v>0.68</v>
      </c>
      <c r="I12" s="20" t="n">
        <f aca="false">H12</f>
        <v>0.68</v>
      </c>
      <c r="J12" s="20" t="n">
        <f aca="false">I12</f>
        <v>0.68</v>
      </c>
      <c r="K12" s="20" t="n">
        <f aca="false">J12</f>
        <v>0.68</v>
      </c>
      <c r="L12" s="20" t="n">
        <f aca="false">K12</f>
        <v>0.68</v>
      </c>
      <c r="M12" s="20" t="n">
        <f aca="false">L12</f>
        <v>0.68</v>
      </c>
      <c r="N12" s="10" t="s">
        <v>275</v>
      </c>
      <c r="O12" s="10" t="s">
        <v>276</v>
      </c>
    </row>
    <row r="13" customFormat="false" ht="15" hidden="false" customHeight="false" outlineLevel="0" collapsed="false">
      <c r="A13" s="10" t="s">
        <v>259</v>
      </c>
      <c r="B13" s="7" t="s">
        <v>277</v>
      </c>
      <c r="C13" s="20" t="n">
        <f aca="false">IF(C70=0,0,C75/C70)</f>
        <v>0.15009746588694</v>
      </c>
      <c r="D13" s="19" t="n">
        <v>0.15</v>
      </c>
      <c r="E13" s="20" t="n">
        <f aca="false">D13</f>
        <v>0.15</v>
      </c>
      <c r="F13" s="20" t="n">
        <f aca="false">E13</f>
        <v>0.15</v>
      </c>
      <c r="G13" s="20" t="n">
        <f aca="false">F13</f>
        <v>0.15</v>
      </c>
      <c r="H13" s="20" t="n">
        <f aca="false">G13</f>
        <v>0.15</v>
      </c>
      <c r="I13" s="20" t="n">
        <f aca="false">H13</f>
        <v>0.15</v>
      </c>
      <c r="J13" s="20" t="n">
        <f aca="false">I13</f>
        <v>0.15</v>
      </c>
      <c r="K13" s="20" t="n">
        <f aca="false">J13</f>
        <v>0.15</v>
      </c>
      <c r="L13" s="20" t="n">
        <f aca="false">K13</f>
        <v>0.15</v>
      </c>
      <c r="M13" s="20" t="n">
        <f aca="false">L13</f>
        <v>0.15</v>
      </c>
      <c r="N13" s="10" t="s">
        <v>275</v>
      </c>
      <c r="O13" s="10" t="s">
        <v>278</v>
      </c>
    </row>
    <row r="14" customFormat="false" ht="15" hidden="false" customHeight="false" outlineLevel="0" collapsed="false">
      <c r="A14" s="10" t="s">
        <v>259</v>
      </c>
      <c r="B14" s="7" t="s">
        <v>279</v>
      </c>
      <c r="D14" s="19" t="n">
        <v>0.03</v>
      </c>
      <c r="E14" s="19" t="n">
        <v>0.025</v>
      </c>
      <c r="F14" s="19" t="n">
        <v>0.02</v>
      </c>
      <c r="G14" s="20" t="n">
        <f aca="false">F14</f>
        <v>0.02</v>
      </c>
      <c r="H14" s="20" t="n">
        <f aca="false">G14</f>
        <v>0.02</v>
      </c>
      <c r="I14" s="20" t="n">
        <f aca="false">H14</f>
        <v>0.02</v>
      </c>
      <c r="J14" s="20" t="n">
        <f aca="false">I14</f>
        <v>0.02</v>
      </c>
      <c r="K14" s="20" t="n">
        <f aca="false">J14</f>
        <v>0.02</v>
      </c>
      <c r="L14" s="20" t="n">
        <f aca="false">K14</f>
        <v>0.02</v>
      </c>
      <c r="M14" s="20" t="n">
        <f aca="false">L14</f>
        <v>0.02</v>
      </c>
      <c r="N14" s="10" t="s">
        <v>266</v>
      </c>
      <c r="O14" s="10" t="s">
        <v>280</v>
      </c>
    </row>
    <row r="15" customFormat="false" ht="15" hidden="false" customHeight="false" outlineLevel="0" collapsed="false">
      <c r="A15" s="10" t="s">
        <v>259</v>
      </c>
      <c r="B15" s="7" t="s">
        <v>281</v>
      </c>
      <c r="D15" s="21" t="n">
        <v>0</v>
      </c>
      <c r="E15" s="22" t="n">
        <f aca="false">D15</f>
        <v>0</v>
      </c>
      <c r="F15" s="22" t="n">
        <f aca="false">E15</f>
        <v>0</v>
      </c>
      <c r="G15" s="22" t="n">
        <f aca="false">F15</f>
        <v>0</v>
      </c>
      <c r="H15" s="22" t="n">
        <f aca="false">G15</f>
        <v>0</v>
      </c>
      <c r="I15" s="22" t="n">
        <f aca="false">H15</f>
        <v>0</v>
      </c>
      <c r="J15" s="22" t="n">
        <f aca="false">I15</f>
        <v>0</v>
      </c>
      <c r="K15" s="22" t="n">
        <f aca="false">J15</f>
        <v>0</v>
      </c>
      <c r="L15" s="22" t="n">
        <f aca="false">K15</f>
        <v>0</v>
      </c>
      <c r="M15" s="22" t="n">
        <f aca="false">L15</f>
        <v>0</v>
      </c>
      <c r="N15" s="10" t="s">
        <v>282</v>
      </c>
      <c r="O15" s="10" t="s">
        <v>283</v>
      </c>
    </row>
    <row r="16" customFormat="false" ht="15" hidden="false" customHeight="false" outlineLevel="0" collapsed="false">
      <c r="A16" s="10" t="s">
        <v>259</v>
      </c>
      <c r="B16" s="7" t="s">
        <v>284</v>
      </c>
      <c r="C16" s="22" t="n">
        <f aca="false">C79</f>
        <v>-2</v>
      </c>
      <c r="D16" s="21" t="n">
        <v>0</v>
      </c>
      <c r="E16" s="22" t="n">
        <f aca="false">D16</f>
        <v>0</v>
      </c>
      <c r="F16" s="22" t="n">
        <f aca="false">E16</f>
        <v>0</v>
      </c>
      <c r="G16" s="22" t="n">
        <f aca="false">F16</f>
        <v>0</v>
      </c>
      <c r="H16" s="22" t="n">
        <f aca="false">G16</f>
        <v>0</v>
      </c>
      <c r="I16" s="22" t="n">
        <f aca="false">H16</f>
        <v>0</v>
      </c>
      <c r="J16" s="22" t="n">
        <f aca="false">I16</f>
        <v>0</v>
      </c>
      <c r="K16" s="22" t="n">
        <f aca="false">J16</f>
        <v>0</v>
      </c>
      <c r="L16" s="22" t="n">
        <f aca="false">K16</f>
        <v>0</v>
      </c>
      <c r="M16" s="22" t="n">
        <f aca="false">L16</f>
        <v>0</v>
      </c>
      <c r="N16" s="10" t="s">
        <v>282</v>
      </c>
      <c r="O16" s="10" t="s">
        <v>285</v>
      </c>
    </row>
    <row r="17" customFormat="false" ht="15" hidden="false" customHeight="false" outlineLevel="0" collapsed="false">
      <c r="A17" s="10" t="s">
        <v>259</v>
      </c>
      <c r="B17" s="7" t="s">
        <v>286</v>
      </c>
      <c r="D17" s="19" t="n">
        <v>0.007</v>
      </c>
      <c r="E17" s="20" t="n">
        <f aca="false">D17</f>
        <v>0.007</v>
      </c>
      <c r="F17" s="20" t="n">
        <f aca="false">E17</f>
        <v>0.007</v>
      </c>
      <c r="G17" s="20" t="n">
        <f aca="false">F17</f>
        <v>0.007</v>
      </c>
      <c r="H17" s="20" t="n">
        <f aca="false">G17</f>
        <v>0.007</v>
      </c>
      <c r="I17" s="20" t="n">
        <f aca="false">H17</f>
        <v>0.007</v>
      </c>
      <c r="J17" s="20" t="n">
        <f aca="false">I17</f>
        <v>0.007</v>
      </c>
      <c r="K17" s="20" t="n">
        <f aca="false">J17</f>
        <v>0.007</v>
      </c>
      <c r="L17" s="20" t="n">
        <f aca="false">K17</f>
        <v>0.007</v>
      </c>
      <c r="M17" s="20" t="n">
        <f aca="false">L17</f>
        <v>0.007</v>
      </c>
      <c r="N17" s="10" t="s">
        <v>287</v>
      </c>
      <c r="O17" s="10" t="s">
        <v>288</v>
      </c>
    </row>
    <row r="18" customFormat="false" ht="15" hidden="false" customHeight="false" outlineLevel="0" collapsed="false">
      <c r="A18" s="10" t="s">
        <v>259</v>
      </c>
      <c r="B18" s="7" t="s">
        <v>289</v>
      </c>
      <c r="D18" s="19" t="n">
        <v>0.065</v>
      </c>
      <c r="E18" s="20" t="n">
        <f aca="false">D18</f>
        <v>0.065</v>
      </c>
      <c r="F18" s="20" t="n">
        <f aca="false">E18</f>
        <v>0.065</v>
      </c>
      <c r="G18" s="20" t="n">
        <f aca="false">F18</f>
        <v>0.065</v>
      </c>
      <c r="H18" s="20" t="n">
        <f aca="false">G18</f>
        <v>0.065</v>
      </c>
      <c r="I18" s="20" t="n">
        <f aca="false">H18</f>
        <v>0.065</v>
      </c>
      <c r="J18" s="20" t="n">
        <f aca="false">I18</f>
        <v>0.065</v>
      </c>
      <c r="K18" s="20" t="n">
        <f aca="false">J18</f>
        <v>0.065</v>
      </c>
      <c r="L18" s="20" t="n">
        <f aca="false">K18</f>
        <v>0.065</v>
      </c>
      <c r="M18" s="20" t="n">
        <f aca="false">L18</f>
        <v>0.065</v>
      </c>
      <c r="N18" s="10" t="s">
        <v>290</v>
      </c>
      <c r="O18" s="10" t="s">
        <v>291</v>
      </c>
    </row>
    <row r="19" customFormat="false" ht="15" hidden="false" customHeight="false" outlineLevel="0" collapsed="false">
      <c r="A19" s="10" t="s">
        <v>259</v>
      </c>
      <c r="B19" s="7" t="s">
        <v>133</v>
      </c>
      <c r="C19" s="20" t="n">
        <f aca="false">IF(C84=0,0,C86/C84)</f>
        <v>0.259036144578313</v>
      </c>
      <c r="D19" s="19" t="n">
        <v>0.25</v>
      </c>
      <c r="E19" s="20" t="n">
        <f aca="false">D19</f>
        <v>0.25</v>
      </c>
      <c r="F19" s="20" t="n">
        <f aca="false">E19</f>
        <v>0.25</v>
      </c>
      <c r="G19" s="20" t="n">
        <f aca="false">F19</f>
        <v>0.25</v>
      </c>
      <c r="H19" s="20" t="n">
        <f aca="false">G19</f>
        <v>0.25</v>
      </c>
      <c r="I19" s="20" t="n">
        <f aca="false">H19</f>
        <v>0.25</v>
      </c>
      <c r="J19" s="20" t="n">
        <f aca="false">I19</f>
        <v>0.25</v>
      </c>
      <c r="K19" s="20" t="n">
        <f aca="false">J19</f>
        <v>0.25</v>
      </c>
      <c r="L19" s="20" t="n">
        <f aca="false">K19</f>
        <v>0.25</v>
      </c>
      <c r="M19" s="20" t="n">
        <f aca="false">L19</f>
        <v>0.25</v>
      </c>
      <c r="N19" s="10" t="s">
        <v>292</v>
      </c>
      <c r="O19" s="10" t="s">
        <v>293</v>
      </c>
    </row>
    <row r="20" customFormat="false" ht="15" hidden="false" customHeight="false" outlineLevel="0" collapsed="false">
      <c r="A20" s="10" t="s">
        <v>259</v>
      </c>
      <c r="B20" s="7" t="s">
        <v>294</v>
      </c>
      <c r="D20" s="19" t="n">
        <v>0.12</v>
      </c>
      <c r="N20" s="10" t="s">
        <v>266</v>
      </c>
      <c r="O20" s="10" t="s">
        <v>295</v>
      </c>
    </row>
    <row r="22" customFormat="false" ht="15" hidden="false" customHeight="false" outlineLevel="0" collapsed="false">
      <c r="A22" s="12" t="s">
        <v>296</v>
      </c>
      <c r="B22" s="13"/>
      <c r="C22" s="13"/>
      <c r="D22" s="13"/>
      <c r="E22" s="13"/>
      <c r="F22" s="13"/>
      <c r="G22" s="13"/>
      <c r="H22" s="13"/>
      <c r="I22" s="13"/>
      <c r="J22" s="13"/>
      <c r="K22" s="13"/>
      <c r="L22" s="13"/>
      <c r="M22" s="13"/>
      <c r="N22" s="13"/>
      <c r="O22" s="13"/>
    </row>
    <row r="23" customFormat="false" ht="15" hidden="false" customHeight="false" outlineLevel="0" collapsed="false">
      <c r="A23" s="10" t="s">
        <v>297</v>
      </c>
      <c r="B23" s="7" t="s">
        <v>298</v>
      </c>
      <c r="D23" s="18" t="n">
        <v>0</v>
      </c>
      <c r="E23" s="18" t="n">
        <v>0</v>
      </c>
      <c r="F23" s="18" t="n">
        <v>0</v>
      </c>
      <c r="G23" s="18" t="n">
        <v>0</v>
      </c>
      <c r="H23" s="18" t="n">
        <v>0</v>
      </c>
      <c r="I23" s="18" t="n">
        <v>0</v>
      </c>
      <c r="J23" s="18" t="n">
        <v>0</v>
      </c>
      <c r="K23" s="18" t="n">
        <v>0</v>
      </c>
      <c r="L23" s="18" t="n">
        <v>0</v>
      </c>
      <c r="M23" s="18" t="n">
        <v>0</v>
      </c>
      <c r="N23" s="10" t="s">
        <v>261</v>
      </c>
    </row>
    <row r="24" customFormat="false" ht="15" hidden="false" customHeight="false" outlineLevel="0" collapsed="false">
      <c r="A24" s="10" t="s">
        <v>297</v>
      </c>
      <c r="B24" s="7" t="s">
        <v>299</v>
      </c>
      <c r="D24" s="18" t="n">
        <v>0</v>
      </c>
      <c r="E24" s="18" t="n">
        <v>0</v>
      </c>
      <c r="F24" s="18" t="n">
        <v>0</v>
      </c>
      <c r="G24" s="18" t="n">
        <v>0</v>
      </c>
      <c r="H24" s="18" t="n">
        <v>0</v>
      </c>
      <c r="I24" s="18" t="n">
        <v>0</v>
      </c>
      <c r="J24" s="18" t="n">
        <v>0</v>
      </c>
      <c r="K24" s="18" t="n">
        <v>0</v>
      </c>
      <c r="L24" s="18" t="n">
        <v>0</v>
      </c>
      <c r="M24" s="18" t="n">
        <v>0</v>
      </c>
      <c r="N24" s="10" t="s">
        <v>261</v>
      </c>
    </row>
    <row r="25" customFormat="false" ht="15" hidden="false" customHeight="false" outlineLevel="0" collapsed="false">
      <c r="A25" s="10" t="s">
        <v>297</v>
      </c>
      <c r="B25" s="7" t="s">
        <v>300</v>
      </c>
      <c r="D25" s="19" t="n">
        <v>0</v>
      </c>
      <c r="E25" s="19" t="n">
        <v>0</v>
      </c>
      <c r="F25" s="19" t="n">
        <v>0</v>
      </c>
      <c r="G25" s="19" t="n">
        <v>0</v>
      </c>
      <c r="H25" s="19" t="n">
        <v>0</v>
      </c>
      <c r="I25" s="19" t="n">
        <v>0</v>
      </c>
      <c r="J25" s="19" t="n">
        <v>0</v>
      </c>
      <c r="K25" s="19" t="n">
        <v>0</v>
      </c>
      <c r="L25" s="19" t="n">
        <v>0</v>
      </c>
      <c r="M25" s="19" t="n">
        <v>0</v>
      </c>
      <c r="N25" s="10" t="s">
        <v>266</v>
      </c>
    </row>
    <row r="26" customFormat="false" ht="15" hidden="false" customHeight="false" outlineLevel="0" collapsed="false">
      <c r="A26" s="10" t="s">
        <v>297</v>
      </c>
      <c r="B26" s="7" t="s">
        <v>301</v>
      </c>
      <c r="D26" s="19" t="n">
        <v>0</v>
      </c>
      <c r="E26" s="19" t="n">
        <v>0</v>
      </c>
      <c r="F26" s="19" t="n">
        <v>0</v>
      </c>
      <c r="G26" s="19" t="n">
        <v>0</v>
      </c>
      <c r="H26" s="19" t="n">
        <v>0</v>
      </c>
      <c r="I26" s="19" t="n">
        <v>0</v>
      </c>
      <c r="J26" s="19" t="n">
        <v>0</v>
      </c>
      <c r="K26" s="19" t="n">
        <v>0</v>
      </c>
      <c r="L26" s="19" t="n">
        <v>0</v>
      </c>
      <c r="M26" s="19" t="n">
        <v>0</v>
      </c>
      <c r="N26" s="10" t="s">
        <v>266</v>
      </c>
    </row>
    <row r="27" customFormat="false" ht="15" hidden="false" customHeight="false" outlineLevel="0" collapsed="false">
      <c r="A27" s="10" t="s">
        <v>297</v>
      </c>
      <c r="B27" s="7" t="s">
        <v>302</v>
      </c>
      <c r="D27" s="19" t="n">
        <v>0</v>
      </c>
      <c r="E27" s="19" t="n">
        <v>0</v>
      </c>
      <c r="F27" s="19" t="n">
        <v>0</v>
      </c>
      <c r="G27" s="19" t="n">
        <v>0</v>
      </c>
      <c r="H27" s="19" t="n">
        <v>0</v>
      </c>
      <c r="I27" s="19" t="n">
        <v>0</v>
      </c>
      <c r="J27" s="19" t="n">
        <v>0</v>
      </c>
      <c r="K27" s="19" t="n">
        <v>0</v>
      </c>
      <c r="L27" s="19" t="n">
        <v>0</v>
      </c>
      <c r="M27" s="19" t="n">
        <v>0</v>
      </c>
      <c r="N27" s="10" t="s">
        <v>270</v>
      </c>
    </row>
    <row r="28" customFormat="false" ht="15" hidden="false" customHeight="false" outlineLevel="0" collapsed="false">
      <c r="A28" s="10" t="s">
        <v>297</v>
      </c>
      <c r="B28" s="7" t="s">
        <v>303</v>
      </c>
      <c r="D28" s="19" t="n">
        <v>0</v>
      </c>
      <c r="E28" s="19" t="n">
        <v>0</v>
      </c>
      <c r="F28" s="19" t="n">
        <v>0</v>
      </c>
      <c r="G28" s="19" t="n">
        <v>0</v>
      </c>
      <c r="H28" s="19" t="n">
        <v>0</v>
      </c>
      <c r="I28" s="19" t="n">
        <v>0</v>
      </c>
      <c r="J28" s="19" t="n">
        <v>0</v>
      </c>
      <c r="K28" s="19" t="n">
        <v>0</v>
      </c>
      <c r="L28" s="19" t="n">
        <v>0</v>
      </c>
      <c r="M28" s="19" t="n">
        <v>0</v>
      </c>
      <c r="N28" s="10" t="s">
        <v>266</v>
      </c>
    </row>
    <row r="29" customFormat="false" ht="15" hidden="false" customHeight="false" outlineLevel="0" collapsed="false">
      <c r="A29" s="10" t="s">
        <v>297</v>
      </c>
      <c r="B29" s="7" t="s">
        <v>304</v>
      </c>
      <c r="D29" s="19" t="n">
        <v>0</v>
      </c>
      <c r="E29" s="19" t="n">
        <v>0</v>
      </c>
      <c r="F29" s="19" t="n">
        <v>0</v>
      </c>
      <c r="G29" s="19" t="n">
        <v>0</v>
      </c>
      <c r="H29" s="19" t="n">
        <v>0</v>
      </c>
      <c r="I29" s="19" t="n">
        <v>0</v>
      </c>
      <c r="J29" s="19" t="n">
        <v>0</v>
      </c>
      <c r="K29" s="19" t="n">
        <v>0</v>
      </c>
      <c r="L29" s="19" t="n">
        <v>0</v>
      </c>
      <c r="M29" s="19" t="n">
        <v>0</v>
      </c>
      <c r="N29" s="10" t="s">
        <v>275</v>
      </c>
    </row>
    <row r="30" customFormat="false" ht="15" hidden="false" customHeight="false" outlineLevel="0" collapsed="false">
      <c r="A30" s="10" t="s">
        <v>297</v>
      </c>
      <c r="B30" s="7" t="s">
        <v>305</v>
      </c>
      <c r="D30" s="19" t="n">
        <v>0</v>
      </c>
      <c r="E30" s="19" t="n">
        <v>0</v>
      </c>
      <c r="F30" s="19" t="n">
        <v>0</v>
      </c>
      <c r="G30" s="19" t="n">
        <v>0</v>
      </c>
      <c r="H30" s="19" t="n">
        <v>0</v>
      </c>
      <c r="I30" s="19" t="n">
        <v>0</v>
      </c>
      <c r="J30" s="19" t="n">
        <v>0</v>
      </c>
      <c r="K30" s="19" t="n">
        <v>0</v>
      </c>
      <c r="L30" s="19" t="n">
        <v>0</v>
      </c>
      <c r="M30" s="19" t="n">
        <v>0</v>
      </c>
      <c r="N30" s="10" t="s">
        <v>275</v>
      </c>
    </row>
    <row r="31" customFormat="false" ht="15" hidden="false" customHeight="false" outlineLevel="0" collapsed="false">
      <c r="A31" s="10" t="s">
        <v>297</v>
      </c>
      <c r="B31" s="7" t="s">
        <v>306</v>
      </c>
      <c r="D31" s="19" t="n">
        <v>0</v>
      </c>
      <c r="E31" s="19" t="n">
        <v>0</v>
      </c>
      <c r="F31" s="19" t="n">
        <v>0</v>
      </c>
      <c r="G31" s="19" t="n">
        <v>0</v>
      </c>
      <c r="H31" s="19" t="n">
        <v>0</v>
      </c>
      <c r="I31" s="19" t="n">
        <v>0</v>
      </c>
      <c r="J31" s="19" t="n">
        <v>0</v>
      </c>
      <c r="K31" s="19" t="n">
        <v>0</v>
      </c>
      <c r="L31" s="19" t="n">
        <v>0</v>
      </c>
      <c r="M31" s="19" t="n">
        <v>0</v>
      </c>
      <c r="N31" s="10" t="s">
        <v>266</v>
      </c>
    </row>
    <row r="32" customFormat="false" ht="15" hidden="false" customHeight="false" outlineLevel="0" collapsed="false">
      <c r="A32" s="10" t="s">
        <v>297</v>
      </c>
      <c r="B32" s="7" t="s">
        <v>307</v>
      </c>
      <c r="D32" s="21" t="n">
        <v>0</v>
      </c>
      <c r="E32" s="21" t="n">
        <v>0</v>
      </c>
      <c r="F32" s="21" t="n">
        <v>0</v>
      </c>
      <c r="G32" s="21" t="n">
        <v>0</v>
      </c>
      <c r="H32" s="21" t="n">
        <v>0</v>
      </c>
      <c r="I32" s="21" t="n">
        <v>0</v>
      </c>
      <c r="J32" s="21" t="n">
        <v>0</v>
      </c>
      <c r="K32" s="21" t="n">
        <v>0</v>
      </c>
      <c r="L32" s="21" t="n">
        <v>0</v>
      </c>
      <c r="M32" s="21" t="n">
        <v>0</v>
      </c>
      <c r="N32" s="10" t="s">
        <v>282</v>
      </c>
    </row>
    <row r="33" customFormat="false" ht="15" hidden="false" customHeight="false" outlineLevel="0" collapsed="false">
      <c r="A33" s="10" t="s">
        <v>297</v>
      </c>
      <c r="B33" s="7" t="s">
        <v>308</v>
      </c>
      <c r="D33" s="21" t="n">
        <v>0</v>
      </c>
      <c r="E33" s="21" t="n">
        <v>0</v>
      </c>
      <c r="F33" s="21" t="n">
        <v>0</v>
      </c>
      <c r="G33" s="21" t="n">
        <v>0</v>
      </c>
      <c r="H33" s="21" t="n">
        <v>0</v>
      </c>
      <c r="I33" s="21" t="n">
        <v>0</v>
      </c>
      <c r="J33" s="21" t="n">
        <v>0</v>
      </c>
      <c r="K33" s="21" t="n">
        <v>0</v>
      </c>
      <c r="L33" s="21" t="n">
        <v>0</v>
      </c>
      <c r="M33" s="21" t="n">
        <v>0</v>
      </c>
      <c r="N33" s="10" t="s">
        <v>282</v>
      </c>
    </row>
    <row r="34" customFormat="false" ht="15" hidden="false" customHeight="false" outlineLevel="0" collapsed="false">
      <c r="A34" s="10" t="s">
        <v>297</v>
      </c>
      <c r="B34" s="7" t="s">
        <v>309</v>
      </c>
      <c r="D34" s="19" t="n">
        <v>0</v>
      </c>
      <c r="E34" s="19" t="n">
        <v>0</v>
      </c>
      <c r="F34" s="19" t="n">
        <v>0</v>
      </c>
      <c r="G34" s="19" t="n">
        <v>0</v>
      </c>
      <c r="H34" s="19" t="n">
        <v>0</v>
      </c>
      <c r="I34" s="19" t="n">
        <v>0</v>
      </c>
      <c r="J34" s="19" t="n">
        <v>0</v>
      </c>
      <c r="K34" s="19" t="n">
        <v>0</v>
      </c>
      <c r="L34" s="19" t="n">
        <v>0</v>
      </c>
      <c r="M34" s="19" t="n">
        <v>0</v>
      </c>
      <c r="N34" s="10" t="s">
        <v>287</v>
      </c>
    </row>
    <row r="35" customFormat="false" ht="15" hidden="false" customHeight="false" outlineLevel="0" collapsed="false">
      <c r="A35" s="10" t="s">
        <v>297</v>
      </c>
      <c r="B35" s="7" t="s">
        <v>310</v>
      </c>
      <c r="D35" s="19" t="n">
        <v>0</v>
      </c>
      <c r="E35" s="19" t="n">
        <v>0</v>
      </c>
      <c r="F35" s="19" t="n">
        <v>0</v>
      </c>
      <c r="G35" s="19" t="n">
        <v>0</v>
      </c>
      <c r="H35" s="19" t="n">
        <v>0</v>
      </c>
      <c r="I35" s="19" t="n">
        <v>0</v>
      </c>
      <c r="J35" s="19" t="n">
        <v>0</v>
      </c>
      <c r="K35" s="19" t="n">
        <v>0</v>
      </c>
      <c r="L35" s="19" t="n">
        <v>0</v>
      </c>
      <c r="M35" s="19" t="n">
        <v>0</v>
      </c>
      <c r="N35" s="10" t="s">
        <v>290</v>
      </c>
    </row>
    <row r="36" customFormat="false" ht="15" hidden="false" customHeight="false" outlineLevel="0" collapsed="false">
      <c r="A36" s="10" t="s">
        <v>297</v>
      </c>
      <c r="B36" s="7" t="s">
        <v>311</v>
      </c>
      <c r="D36" s="19" t="n">
        <v>0</v>
      </c>
      <c r="E36" s="19" t="n">
        <v>0</v>
      </c>
      <c r="F36" s="19" t="n">
        <v>0</v>
      </c>
      <c r="G36" s="19" t="n">
        <v>0</v>
      </c>
      <c r="H36" s="19" t="n">
        <v>0</v>
      </c>
      <c r="I36" s="19" t="n">
        <v>0</v>
      </c>
      <c r="J36" s="19" t="n">
        <v>0</v>
      </c>
      <c r="K36" s="19" t="n">
        <v>0</v>
      </c>
      <c r="L36" s="19" t="n">
        <v>0</v>
      </c>
      <c r="M36" s="19" t="n">
        <v>0</v>
      </c>
      <c r="N36" s="10" t="s">
        <v>292</v>
      </c>
    </row>
    <row r="37" customFormat="false" ht="15" hidden="false" customHeight="false" outlineLevel="0" collapsed="false">
      <c r="A37" s="10" t="s">
        <v>297</v>
      </c>
      <c r="B37" s="7" t="s">
        <v>312</v>
      </c>
      <c r="D37" s="19" t="n">
        <v>0</v>
      </c>
      <c r="N37" s="10" t="s">
        <v>266</v>
      </c>
    </row>
    <row r="39" customFormat="false" ht="15" hidden="false" customHeight="false" outlineLevel="0" collapsed="false">
      <c r="A39" s="12" t="s">
        <v>313</v>
      </c>
      <c r="B39" s="13"/>
      <c r="C39" s="13"/>
      <c r="D39" s="13"/>
      <c r="E39" s="13"/>
      <c r="F39" s="13"/>
      <c r="G39" s="13"/>
      <c r="H39" s="13"/>
      <c r="I39" s="13"/>
      <c r="J39" s="13"/>
      <c r="K39" s="13"/>
      <c r="L39" s="13"/>
      <c r="M39" s="13"/>
      <c r="N39" s="13"/>
      <c r="O39" s="13"/>
    </row>
    <row r="40" customFormat="false" ht="15" hidden="false" customHeight="false" outlineLevel="0" collapsed="false">
      <c r="A40" s="10" t="s">
        <v>314</v>
      </c>
      <c r="B40" s="7" t="s">
        <v>315</v>
      </c>
      <c r="D40" s="17" t="n">
        <f aca="false">D6+D23</f>
        <v>2</v>
      </c>
      <c r="E40" s="17" t="n">
        <f aca="false">E6+E23</f>
        <v>2</v>
      </c>
      <c r="F40" s="17" t="n">
        <f aca="false">F6+F23</f>
        <v>2</v>
      </c>
      <c r="G40" s="17" t="n">
        <f aca="false">G6+G23</f>
        <v>2</v>
      </c>
      <c r="H40" s="17" t="n">
        <f aca="false">H6+H23</f>
        <v>2</v>
      </c>
      <c r="I40" s="17" t="n">
        <f aca="false">I6+I23</f>
        <v>2</v>
      </c>
      <c r="J40" s="17" t="n">
        <f aca="false">J6+J23</f>
        <v>2</v>
      </c>
      <c r="K40" s="17" t="n">
        <f aca="false">K6+K23</f>
        <v>2</v>
      </c>
      <c r="L40" s="17" t="n">
        <f aca="false">L6+L23</f>
        <v>2</v>
      </c>
      <c r="M40" s="17" t="n">
        <f aca="false">M6+M23</f>
        <v>2</v>
      </c>
      <c r="N40" s="10" t="s">
        <v>261</v>
      </c>
    </row>
    <row r="41" customFormat="false" ht="15" hidden="false" customHeight="false" outlineLevel="0" collapsed="false">
      <c r="A41" s="10" t="s">
        <v>314</v>
      </c>
      <c r="B41" s="7" t="s">
        <v>316</v>
      </c>
      <c r="D41" s="17" t="n">
        <f aca="false">D7+D24</f>
        <v>4</v>
      </c>
      <c r="E41" s="17" t="n">
        <f aca="false">E7+E24</f>
        <v>5</v>
      </c>
      <c r="F41" s="17" t="n">
        <f aca="false">F7+F24</f>
        <v>5</v>
      </c>
      <c r="G41" s="17" t="n">
        <f aca="false">G7+G24</f>
        <v>5</v>
      </c>
      <c r="H41" s="17" t="n">
        <f aca="false">H7+H24</f>
        <v>5</v>
      </c>
      <c r="I41" s="17" t="n">
        <f aca="false">I7+I24</f>
        <v>4</v>
      </c>
      <c r="J41" s="17" t="n">
        <f aca="false">J7+J24</f>
        <v>4</v>
      </c>
      <c r="K41" s="17" t="n">
        <f aca="false">K7+K24</f>
        <v>4</v>
      </c>
      <c r="L41" s="17" t="n">
        <f aca="false">L7+L24</f>
        <v>4</v>
      </c>
      <c r="M41" s="17" t="n">
        <f aca="false">M7+M24</f>
        <v>4</v>
      </c>
      <c r="N41" s="10" t="s">
        <v>261</v>
      </c>
    </row>
    <row r="42" customFormat="false" ht="15" hidden="false" customHeight="false" outlineLevel="0" collapsed="false">
      <c r="A42" s="10" t="s">
        <v>314</v>
      </c>
      <c r="B42" s="7" t="s">
        <v>317</v>
      </c>
      <c r="D42" s="20" t="n">
        <f aca="false">D8+D25</f>
        <v>0.02</v>
      </c>
      <c r="E42" s="20" t="n">
        <f aca="false">E8+E25</f>
        <v>0.02</v>
      </c>
      <c r="F42" s="20" t="n">
        <f aca="false">F8+F25</f>
        <v>0.02</v>
      </c>
      <c r="G42" s="20" t="n">
        <f aca="false">G8+G25</f>
        <v>0.02</v>
      </c>
      <c r="H42" s="20" t="n">
        <f aca="false">H8+H25</f>
        <v>0.02</v>
      </c>
      <c r="I42" s="20" t="n">
        <f aca="false">I8+I25</f>
        <v>0.02</v>
      </c>
      <c r="J42" s="20" t="n">
        <f aca="false">J8+J25</f>
        <v>0.02</v>
      </c>
      <c r="K42" s="20" t="n">
        <f aca="false">K8+K25</f>
        <v>0.02</v>
      </c>
      <c r="L42" s="20" t="n">
        <f aca="false">L8+L25</f>
        <v>0.02</v>
      </c>
      <c r="M42" s="20" t="n">
        <f aca="false">M8+M25</f>
        <v>0.02</v>
      </c>
      <c r="N42" s="10" t="s">
        <v>266</v>
      </c>
    </row>
    <row r="43" customFormat="false" ht="15" hidden="false" customHeight="false" outlineLevel="0" collapsed="false">
      <c r="A43" s="10" t="s">
        <v>314</v>
      </c>
      <c r="B43" s="7" t="s">
        <v>318</v>
      </c>
      <c r="D43" s="20" t="n">
        <f aca="false">D9+D26</f>
        <v>0.03</v>
      </c>
      <c r="E43" s="20" t="n">
        <f aca="false">E9+E26</f>
        <v>0.03</v>
      </c>
      <c r="F43" s="20" t="n">
        <f aca="false">F9+F26</f>
        <v>0.03</v>
      </c>
      <c r="G43" s="20" t="n">
        <f aca="false">G9+G26</f>
        <v>0.03</v>
      </c>
      <c r="H43" s="20" t="n">
        <f aca="false">H9+H26</f>
        <v>0.03</v>
      </c>
      <c r="I43" s="20" t="n">
        <f aca="false">I9+I26</f>
        <v>0.03</v>
      </c>
      <c r="J43" s="20" t="n">
        <f aca="false">J9+J26</f>
        <v>0.03</v>
      </c>
      <c r="K43" s="20" t="n">
        <f aca="false">K9+K26</f>
        <v>0.03</v>
      </c>
      <c r="L43" s="20" t="n">
        <f aca="false">L9+L26</f>
        <v>0.03</v>
      </c>
      <c r="M43" s="20" t="n">
        <f aca="false">M9+M26</f>
        <v>0.03</v>
      </c>
      <c r="N43" s="10" t="s">
        <v>266</v>
      </c>
    </row>
    <row r="44" customFormat="false" ht="15" hidden="false" customHeight="false" outlineLevel="0" collapsed="false">
      <c r="A44" s="10" t="s">
        <v>314</v>
      </c>
      <c r="B44" s="7" t="s">
        <v>319</v>
      </c>
      <c r="D44" s="20" t="n">
        <f aca="false">D10+D27</f>
        <v>0.111</v>
      </c>
      <c r="E44" s="20" t="n">
        <f aca="false">E10+E27</f>
        <v>0.111</v>
      </c>
      <c r="F44" s="20" t="n">
        <f aca="false">F10+F27</f>
        <v>0.111</v>
      </c>
      <c r="G44" s="20" t="n">
        <f aca="false">G10+G27</f>
        <v>0.111</v>
      </c>
      <c r="H44" s="20" t="n">
        <f aca="false">H10+H27</f>
        <v>0.111</v>
      </c>
      <c r="I44" s="20" t="n">
        <f aca="false">I10+I27</f>
        <v>0.111</v>
      </c>
      <c r="J44" s="20" t="n">
        <f aca="false">J10+J27</f>
        <v>0.111</v>
      </c>
      <c r="K44" s="20" t="n">
        <f aca="false">K10+K27</f>
        <v>0.111</v>
      </c>
      <c r="L44" s="20" t="n">
        <f aca="false">L10+L27</f>
        <v>0.111</v>
      </c>
      <c r="M44" s="20" t="n">
        <f aca="false">M10+M27</f>
        <v>0.111</v>
      </c>
      <c r="N44" s="10" t="s">
        <v>270</v>
      </c>
    </row>
    <row r="45" customFormat="false" ht="15" hidden="false" customHeight="false" outlineLevel="0" collapsed="false">
      <c r="A45" s="10" t="s">
        <v>314</v>
      </c>
      <c r="B45" s="7" t="s">
        <v>320</v>
      </c>
      <c r="D45" s="20" t="n">
        <f aca="false">D11+D28</f>
        <v>0</v>
      </c>
      <c r="E45" s="20" t="n">
        <f aca="false">E11+E28</f>
        <v>0</v>
      </c>
      <c r="F45" s="20" t="n">
        <f aca="false">F11+F28</f>
        <v>0</v>
      </c>
      <c r="G45" s="20" t="n">
        <f aca="false">G11+G28</f>
        <v>0</v>
      </c>
      <c r="H45" s="20" t="n">
        <f aca="false">H11+H28</f>
        <v>0</v>
      </c>
      <c r="I45" s="20" t="n">
        <f aca="false">I11+I28</f>
        <v>0</v>
      </c>
      <c r="J45" s="20" t="n">
        <f aca="false">J11+J28</f>
        <v>0</v>
      </c>
      <c r="K45" s="20" t="n">
        <f aca="false">K11+K28</f>
        <v>0</v>
      </c>
      <c r="L45" s="20" t="n">
        <f aca="false">L11+L28</f>
        <v>0</v>
      </c>
      <c r="M45" s="20" t="n">
        <f aca="false">M11+M28</f>
        <v>0</v>
      </c>
      <c r="N45" s="10" t="s">
        <v>266</v>
      </c>
    </row>
    <row r="46" customFormat="false" ht="15" hidden="false" customHeight="false" outlineLevel="0" collapsed="false">
      <c r="A46" s="10" t="s">
        <v>314</v>
      </c>
      <c r="B46" s="7" t="s">
        <v>321</v>
      </c>
      <c r="D46" s="20" t="n">
        <f aca="false">D12+D29</f>
        <v>0.68</v>
      </c>
      <c r="E46" s="20" t="n">
        <f aca="false">E12+E29</f>
        <v>0.68</v>
      </c>
      <c r="F46" s="20" t="n">
        <f aca="false">F12+F29</f>
        <v>0.68</v>
      </c>
      <c r="G46" s="20" t="n">
        <f aca="false">G12+G29</f>
        <v>0.68</v>
      </c>
      <c r="H46" s="20" t="n">
        <f aca="false">H12+H29</f>
        <v>0.68</v>
      </c>
      <c r="I46" s="20" t="n">
        <f aca="false">I12+I29</f>
        <v>0.68</v>
      </c>
      <c r="J46" s="20" t="n">
        <f aca="false">J12+J29</f>
        <v>0.68</v>
      </c>
      <c r="K46" s="20" t="n">
        <f aca="false">K12+K29</f>
        <v>0.68</v>
      </c>
      <c r="L46" s="20" t="n">
        <f aca="false">L12+L29</f>
        <v>0.68</v>
      </c>
      <c r="M46" s="20" t="n">
        <f aca="false">M12+M29</f>
        <v>0.68</v>
      </c>
      <c r="N46" s="10" t="s">
        <v>275</v>
      </c>
    </row>
    <row r="47" customFormat="false" ht="15" hidden="false" customHeight="false" outlineLevel="0" collapsed="false">
      <c r="A47" s="10" t="s">
        <v>314</v>
      </c>
      <c r="B47" s="7" t="s">
        <v>322</v>
      </c>
      <c r="D47" s="20" t="n">
        <f aca="false">D13+D30</f>
        <v>0.15</v>
      </c>
      <c r="E47" s="20" t="n">
        <f aca="false">E13+E30</f>
        <v>0.15</v>
      </c>
      <c r="F47" s="20" t="n">
        <f aca="false">F13+F30</f>
        <v>0.15</v>
      </c>
      <c r="G47" s="20" t="n">
        <f aca="false">G13+G30</f>
        <v>0.15</v>
      </c>
      <c r="H47" s="20" t="n">
        <f aca="false">H13+H30</f>
        <v>0.15</v>
      </c>
      <c r="I47" s="20" t="n">
        <f aca="false">I13+I30</f>
        <v>0.15</v>
      </c>
      <c r="J47" s="20" t="n">
        <f aca="false">J13+J30</f>
        <v>0.15</v>
      </c>
      <c r="K47" s="20" t="n">
        <f aca="false">K13+K30</f>
        <v>0.15</v>
      </c>
      <c r="L47" s="20" t="n">
        <f aca="false">L13+L30</f>
        <v>0.15</v>
      </c>
      <c r="M47" s="20" t="n">
        <f aca="false">M13+M30</f>
        <v>0.15</v>
      </c>
      <c r="N47" s="10" t="s">
        <v>275</v>
      </c>
    </row>
    <row r="48" customFormat="false" ht="15" hidden="false" customHeight="false" outlineLevel="0" collapsed="false">
      <c r="A48" s="10" t="s">
        <v>314</v>
      </c>
      <c r="B48" s="7" t="s">
        <v>323</v>
      </c>
      <c r="D48" s="20" t="n">
        <f aca="false">D14+D31</f>
        <v>0.03</v>
      </c>
      <c r="E48" s="20" t="n">
        <f aca="false">E14+E31</f>
        <v>0.025</v>
      </c>
      <c r="F48" s="20" t="n">
        <f aca="false">F14+F31</f>
        <v>0.02</v>
      </c>
      <c r="G48" s="20" t="n">
        <f aca="false">G14+G31</f>
        <v>0.02</v>
      </c>
      <c r="H48" s="20" t="n">
        <f aca="false">H14+H31</f>
        <v>0.02</v>
      </c>
      <c r="I48" s="20" t="n">
        <f aca="false">I14+I31</f>
        <v>0.02</v>
      </c>
      <c r="J48" s="20" t="n">
        <f aca="false">J14+J31</f>
        <v>0.02</v>
      </c>
      <c r="K48" s="20" t="n">
        <f aca="false">K14+K31</f>
        <v>0.02</v>
      </c>
      <c r="L48" s="20" t="n">
        <f aca="false">L14+L31</f>
        <v>0.02</v>
      </c>
      <c r="M48" s="20" t="n">
        <f aca="false">M14+M31</f>
        <v>0.02</v>
      </c>
      <c r="N48" s="10" t="s">
        <v>266</v>
      </c>
    </row>
    <row r="49" customFormat="false" ht="15" hidden="false" customHeight="false" outlineLevel="0" collapsed="false">
      <c r="A49" s="10" t="s">
        <v>314</v>
      </c>
      <c r="B49" s="7" t="s">
        <v>324</v>
      </c>
      <c r="D49" s="22" t="n">
        <f aca="false">D15+D32</f>
        <v>0</v>
      </c>
      <c r="E49" s="22" t="n">
        <f aca="false">E15+E32</f>
        <v>0</v>
      </c>
      <c r="F49" s="22" t="n">
        <f aca="false">F15+F32</f>
        <v>0</v>
      </c>
      <c r="G49" s="22" t="n">
        <f aca="false">G15+G32</f>
        <v>0</v>
      </c>
      <c r="H49" s="22" t="n">
        <f aca="false">H15+H32</f>
        <v>0</v>
      </c>
      <c r="I49" s="22" t="n">
        <f aca="false">I15+I32</f>
        <v>0</v>
      </c>
      <c r="J49" s="22" t="n">
        <f aca="false">J15+J32</f>
        <v>0</v>
      </c>
      <c r="K49" s="22" t="n">
        <f aca="false">K15+K32</f>
        <v>0</v>
      </c>
      <c r="L49" s="22" t="n">
        <f aca="false">L15+L32</f>
        <v>0</v>
      </c>
      <c r="M49" s="22" t="n">
        <f aca="false">M15+M32</f>
        <v>0</v>
      </c>
      <c r="N49" s="10" t="s">
        <v>282</v>
      </c>
    </row>
    <row r="50" customFormat="false" ht="15" hidden="false" customHeight="false" outlineLevel="0" collapsed="false">
      <c r="A50" s="10" t="s">
        <v>314</v>
      </c>
      <c r="B50" s="7" t="s">
        <v>325</v>
      </c>
      <c r="D50" s="22" t="n">
        <f aca="false">D16+D33</f>
        <v>0</v>
      </c>
      <c r="E50" s="22" t="n">
        <f aca="false">E16+E33</f>
        <v>0</v>
      </c>
      <c r="F50" s="22" t="n">
        <f aca="false">F16+F33</f>
        <v>0</v>
      </c>
      <c r="G50" s="22" t="n">
        <f aca="false">G16+G33</f>
        <v>0</v>
      </c>
      <c r="H50" s="22" t="n">
        <f aca="false">H16+H33</f>
        <v>0</v>
      </c>
      <c r="I50" s="22" t="n">
        <f aca="false">I16+I33</f>
        <v>0</v>
      </c>
      <c r="J50" s="22" t="n">
        <f aca="false">J16+J33</f>
        <v>0</v>
      </c>
      <c r="K50" s="22" t="n">
        <f aca="false">K16+K33</f>
        <v>0</v>
      </c>
      <c r="L50" s="22" t="n">
        <f aca="false">L16+L33</f>
        <v>0</v>
      </c>
      <c r="M50" s="22" t="n">
        <f aca="false">M16+M33</f>
        <v>0</v>
      </c>
      <c r="N50" s="10" t="s">
        <v>282</v>
      </c>
    </row>
    <row r="51" customFormat="false" ht="15" hidden="false" customHeight="false" outlineLevel="0" collapsed="false">
      <c r="A51" s="10" t="s">
        <v>314</v>
      </c>
      <c r="B51" s="7" t="s">
        <v>326</v>
      </c>
      <c r="D51" s="20" t="n">
        <f aca="false">D17+D34</f>
        <v>0.007</v>
      </c>
      <c r="E51" s="20" t="n">
        <f aca="false">E17+E34</f>
        <v>0.007</v>
      </c>
      <c r="F51" s="20" t="n">
        <f aca="false">F17+F34</f>
        <v>0.007</v>
      </c>
      <c r="G51" s="20" t="n">
        <f aca="false">G17+G34</f>
        <v>0.007</v>
      </c>
      <c r="H51" s="20" t="n">
        <f aca="false">H17+H34</f>
        <v>0.007</v>
      </c>
      <c r="I51" s="20" t="n">
        <f aca="false">I17+I34</f>
        <v>0.007</v>
      </c>
      <c r="J51" s="20" t="n">
        <f aca="false">J17+J34</f>
        <v>0.007</v>
      </c>
      <c r="K51" s="20" t="n">
        <f aca="false">K17+K34</f>
        <v>0.007</v>
      </c>
      <c r="L51" s="20" t="n">
        <f aca="false">L17+L34</f>
        <v>0.007</v>
      </c>
      <c r="M51" s="20" t="n">
        <f aca="false">M17+M34</f>
        <v>0.007</v>
      </c>
      <c r="N51" s="10" t="s">
        <v>287</v>
      </c>
    </row>
    <row r="52" customFormat="false" ht="15" hidden="false" customHeight="false" outlineLevel="0" collapsed="false">
      <c r="A52" s="10" t="s">
        <v>314</v>
      </c>
      <c r="B52" s="7" t="s">
        <v>327</v>
      </c>
      <c r="D52" s="20" t="n">
        <f aca="false">D18+D35</f>
        <v>0.065</v>
      </c>
      <c r="E52" s="20" t="n">
        <f aca="false">E18+E35</f>
        <v>0.065</v>
      </c>
      <c r="F52" s="20" t="n">
        <f aca="false">F18+F35</f>
        <v>0.065</v>
      </c>
      <c r="G52" s="20" t="n">
        <f aca="false">G18+G35</f>
        <v>0.065</v>
      </c>
      <c r="H52" s="20" t="n">
        <f aca="false">H18+H35</f>
        <v>0.065</v>
      </c>
      <c r="I52" s="20" t="n">
        <f aca="false">I18+I35</f>
        <v>0.065</v>
      </c>
      <c r="J52" s="20" t="n">
        <f aca="false">J18+J35</f>
        <v>0.065</v>
      </c>
      <c r="K52" s="20" t="n">
        <f aca="false">K18+K35</f>
        <v>0.065</v>
      </c>
      <c r="L52" s="20" t="n">
        <f aca="false">L18+L35</f>
        <v>0.065</v>
      </c>
      <c r="M52" s="20" t="n">
        <f aca="false">M18+M35</f>
        <v>0.065</v>
      </c>
      <c r="N52" s="10" t="s">
        <v>290</v>
      </c>
    </row>
    <row r="53" customFormat="false" ht="15" hidden="false" customHeight="false" outlineLevel="0" collapsed="false">
      <c r="A53" s="10" t="s">
        <v>314</v>
      </c>
      <c r="B53" s="7" t="s">
        <v>328</v>
      </c>
      <c r="D53" s="20" t="n">
        <f aca="false">D19+D36</f>
        <v>0.25</v>
      </c>
      <c r="E53" s="20" t="n">
        <f aca="false">E19+E36</f>
        <v>0.25</v>
      </c>
      <c r="F53" s="20" t="n">
        <f aca="false">F19+F36</f>
        <v>0.25</v>
      </c>
      <c r="G53" s="20" t="n">
        <f aca="false">G19+G36</f>
        <v>0.25</v>
      </c>
      <c r="H53" s="20" t="n">
        <f aca="false">H19+H36</f>
        <v>0.25</v>
      </c>
      <c r="I53" s="20" t="n">
        <f aca="false">I19+I36</f>
        <v>0.25</v>
      </c>
      <c r="J53" s="20" t="n">
        <f aca="false">J19+J36</f>
        <v>0.25</v>
      </c>
      <c r="K53" s="20" t="n">
        <f aca="false">K19+K36</f>
        <v>0.25</v>
      </c>
      <c r="L53" s="20" t="n">
        <f aca="false">L19+L36</f>
        <v>0.25</v>
      </c>
      <c r="M53" s="20" t="n">
        <f aca="false">M19+M36</f>
        <v>0.25</v>
      </c>
      <c r="N53" s="10" t="s">
        <v>292</v>
      </c>
    </row>
    <row r="54" customFormat="false" ht="15" hidden="false" customHeight="false" outlineLevel="0" collapsed="false">
      <c r="A54" s="10" t="s">
        <v>314</v>
      </c>
      <c r="B54" s="7" t="s">
        <v>329</v>
      </c>
      <c r="D54" s="20" t="n">
        <f aca="false">D20+D37</f>
        <v>0.12</v>
      </c>
      <c r="N54" s="10" t="s">
        <v>266</v>
      </c>
    </row>
    <row r="56" customFormat="false" ht="15" hidden="false" customHeight="false" outlineLevel="0" collapsed="false">
      <c r="A56" s="12" t="s">
        <v>330</v>
      </c>
      <c r="B56" s="13"/>
      <c r="C56" s="13"/>
      <c r="D56" s="13"/>
      <c r="E56" s="13"/>
      <c r="F56" s="13"/>
      <c r="G56" s="13"/>
      <c r="H56" s="13"/>
      <c r="I56" s="13"/>
      <c r="J56" s="13"/>
      <c r="K56" s="13"/>
      <c r="L56" s="13"/>
      <c r="M56" s="13"/>
      <c r="N56" s="13"/>
      <c r="O56" s="13"/>
    </row>
    <row r="57" customFormat="false" ht="15" hidden="false" customHeight="false" outlineLevel="0" collapsed="false">
      <c r="A57" s="23" t="s">
        <v>331</v>
      </c>
      <c r="B57" s="24" t="s">
        <v>332</v>
      </c>
      <c r="C57" s="25"/>
      <c r="D57" s="25"/>
      <c r="E57" s="25"/>
      <c r="F57" s="25"/>
      <c r="G57" s="25"/>
      <c r="H57" s="25"/>
      <c r="I57" s="25"/>
      <c r="J57" s="25"/>
      <c r="K57" s="25"/>
      <c r="L57" s="25"/>
      <c r="M57" s="25"/>
      <c r="N57" s="25"/>
      <c r="O57" s="25"/>
    </row>
    <row r="58" customFormat="false" ht="15" hidden="false" customHeight="false" outlineLevel="0" collapsed="false">
      <c r="B58" s="7" t="s">
        <v>333</v>
      </c>
      <c r="C58" s="18" t="n">
        <v>263</v>
      </c>
      <c r="D58" s="17" t="n">
        <f aca="false">C61</f>
        <v>253</v>
      </c>
      <c r="E58" s="17" t="n">
        <f aca="false">D61</f>
        <v>251</v>
      </c>
      <c r="F58" s="17" t="n">
        <f aca="false">E61</f>
        <v>248</v>
      </c>
      <c r="G58" s="17" t="n">
        <f aca="false">F61</f>
        <v>245</v>
      </c>
      <c r="H58" s="17" t="n">
        <f aca="false">G61</f>
        <v>242</v>
      </c>
      <c r="I58" s="17" t="n">
        <f aca="false">H61</f>
        <v>239</v>
      </c>
      <c r="J58" s="17" t="n">
        <f aca="false">I61</f>
        <v>237</v>
      </c>
      <c r="K58" s="17" t="n">
        <f aca="false">J61</f>
        <v>235</v>
      </c>
      <c r="L58" s="17" t="n">
        <f aca="false">K61</f>
        <v>233</v>
      </c>
      <c r="M58" s="17" t="n">
        <f aca="false">L61</f>
        <v>231</v>
      </c>
      <c r="N58" s="10" t="s">
        <v>261</v>
      </c>
      <c r="O58" s="10" t="s">
        <v>334</v>
      </c>
    </row>
    <row r="59" customFormat="false" ht="15" hidden="false" customHeight="false" outlineLevel="0" collapsed="false">
      <c r="B59" s="7" t="s">
        <v>335</v>
      </c>
      <c r="C59" s="18" t="n">
        <v>0</v>
      </c>
      <c r="D59" s="17" t="n">
        <f aca="false">D40</f>
        <v>2</v>
      </c>
      <c r="E59" s="17" t="n">
        <f aca="false">E40</f>
        <v>2</v>
      </c>
      <c r="F59" s="17" t="n">
        <f aca="false">F40</f>
        <v>2</v>
      </c>
      <c r="G59" s="17" t="n">
        <f aca="false">G40</f>
        <v>2</v>
      </c>
      <c r="H59" s="17" t="n">
        <f aca="false">H40</f>
        <v>2</v>
      </c>
      <c r="I59" s="17" t="n">
        <f aca="false">I40</f>
        <v>2</v>
      </c>
      <c r="J59" s="17" t="n">
        <f aca="false">J40</f>
        <v>2</v>
      </c>
      <c r="K59" s="17" t="n">
        <f aca="false">K40</f>
        <v>2</v>
      </c>
      <c r="L59" s="17" t="n">
        <f aca="false">L40</f>
        <v>2</v>
      </c>
      <c r="M59" s="17" t="n">
        <f aca="false">M40</f>
        <v>2</v>
      </c>
      <c r="N59" s="10" t="s">
        <v>261</v>
      </c>
      <c r="O59" s="10"/>
    </row>
    <row r="60" customFormat="false" ht="15" hidden="false" customHeight="false" outlineLevel="0" collapsed="false">
      <c r="B60" s="7" t="s">
        <v>336</v>
      </c>
      <c r="C60" s="18" t="n">
        <v>10</v>
      </c>
      <c r="D60" s="17" t="n">
        <f aca="false">D41</f>
        <v>4</v>
      </c>
      <c r="E60" s="17" t="n">
        <f aca="false">E41</f>
        <v>5</v>
      </c>
      <c r="F60" s="17" t="n">
        <f aca="false">F41</f>
        <v>5</v>
      </c>
      <c r="G60" s="17" t="n">
        <f aca="false">G41</f>
        <v>5</v>
      </c>
      <c r="H60" s="17" t="n">
        <f aca="false">H41</f>
        <v>5</v>
      </c>
      <c r="I60" s="17" t="n">
        <f aca="false">I41</f>
        <v>4</v>
      </c>
      <c r="J60" s="17" t="n">
        <f aca="false">J41</f>
        <v>4</v>
      </c>
      <c r="K60" s="17" t="n">
        <f aca="false">K41</f>
        <v>4</v>
      </c>
      <c r="L60" s="17" t="n">
        <f aca="false">L41</f>
        <v>4</v>
      </c>
      <c r="M60" s="17" t="n">
        <f aca="false">M41</f>
        <v>4</v>
      </c>
      <c r="N60" s="10" t="s">
        <v>261</v>
      </c>
      <c r="O60" s="10"/>
    </row>
    <row r="61" customFormat="false" ht="15" hidden="false" customHeight="false" outlineLevel="0" collapsed="false">
      <c r="B61" s="7" t="s">
        <v>337</v>
      </c>
      <c r="C61" s="17" t="n">
        <f aca="false">C58+C59-C60</f>
        <v>253</v>
      </c>
      <c r="D61" s="17" t="n">
        <f aca="false">D58+D59-D60</f>
        <v>251</v>
      </c>
      <c r="E61" s="17" t="n">
        <f aca="false">E58+E59-E60</f>
        <v>248</v>
      </c>
      <c r="F61" s="17" t="n">
        <f aca="false">F58+F59-F60</f>
        <v>245</v>
      </c>
      <c r="G61" s="17" t="n">
        <f aca="false">G58+G59-G60</f>
        <v>242</v>
      </c>
      <c r="H61" s="17" t="n">
        <f aca="false">H58+H59-H60</f>
        <v>239</v>
      </c>
      <c r="I61" s="17" t="n">
        <f aca="false">I58+I59-I60</f>
        <v>237</v>
      </c>
      <c r="J61" s="17" t="n">
        <f aca="false">J58+J59-J60</f>
        <v>235</v>
      </c>
      <c r="K61" s="17" t="n">
        <f aca="false">K58+K59-K60</f>
        <v>233</v>
      </c>
      <c r="L61" s="17" t="n">
        <f aca="false">L58+L59-L60</f>
        <v>231</v>
      </c>
      <c r="M61" s="17" t="n">
        <f aca="false">M58+M59-M60</f>
        <v>229</v>
      </c>
      <c r="N61" s="10" t="s">
        <v>261</v>
      </c>
      <c r="O61" s="10"/>
    </row>
    <row r="62" customFormat="false" ht="15" hidden="false" customHeight="false" outlineLevel="0" collapsed="false">
      <c r="B62" s="7" t="s">
        <v>338</v>
      </c>
      <c r="C62" s="22" t="n">
        <f aca="false">AVERAGE(C58,C61)</f>
        <v>258</v>
      </c>
      <c r="D62" s="22" t="n">
        <f aca="false">AVERAGE(D58,D61)</f>
        <v>252</v>
      </c>
      <c r="E62" s="22" t="n">
        <f aca="false">AVERAGE(E58,E61)</f>
        <v>249.5</v>
      </c>
      <c r="F62" s="22" t="n">
        <f aca="false">AVERAGE(F58,F61)</f>
        <v>246.5</v>
      </c>
      <c r="G62" s="22" t="n">
        <f aca="false">AVERAGE(G58,G61)</f>
        <v>243.5</v>
      </c>
      <c r="H62" s="22" t="n">
        <f aca="false">AVERAGE(H58,H61)</f>
        <v>240.5</v>
      </c>
      <c r="I62" s="22" t="n">
        <f aca="false">AVERAGE(I58,I61)</f>
        <v>238</v>
      </c>
      <c r="J62" s="22" t="n">
        <f aca="false">AVERAGE(J58,J61)</f>
        <v>236</v>
      </c>
      <c r="K62" s="22" t="n">
        <f aca="false">AVERAGE(K58,K61)</f>
        <v>234</v>
      </c>
      <c r="L62" s="22" t="n">
        <f aca="false">AVERAGE(L58,L61)</f>
        <v>232</v>
      </c>
      <c r="M62" s="22" t="n">
        <f aca="false">AVERAGE(M58,M61)</f>
        <v>230</v>
      </c>
      <c r="N62" s="10" t="s">
        <v>261</v>
      </c>
      <c r="O62" s="10"/>
    </row>
    <row r="63" customFormat="false" ht="15" hidden="false" customHeight="false" outlineLevel="0" collapsed="false">
      <c r="B63" s="7" t="s">
        <v>339</v>
      </c>
      <c r="C63" s="26" t="n">
        <f aca="false">IF(C62=0,0,C66/C62)</f>
        <v>1.19302325581395</v>
      </c>
      <c r="D63" s="26" t="n">
        <f aca="false">C63*(1+D42)</f>
        <v>1.21688372093023</v>
      </c>
      <c r="E63" s="26" t="n">
        <f aca="false">D63*(1+E42)</f>
        <v>1.24122139534884</v>
      </c>
      <c r="F63" s="26" t="n">
        <f aca="false">E63*(1+F42)</f>
        <v>1.26604582325581</v>
      </c>
      <c r="G63" s="26" t="n">
        <f aca="false">F63*(1+G42)</f>
        <v>1.29136673972093</v>
      </c>
      <c r="H63" s="26" t="n">
        <f aca="false">G63*(1+H42)</f>
        <v>1.31719407451535</v>
      </c>
      <c r="I63" s="26" t="n">
        <f aca="false">H63*(1+I42)</f>
        <v>1.34353795600566</v>
      </c>
      <c r="J63" s="26" t="n">
        <f aca="false">I63*(1+J42)</f>
        <v>1.37040871512577</v>
      </c>
      <c r="K63" s="26" t="n">
        <f aca="false">J63*(1+K42)</f>
        <v>1.39781688942828</v>
      </c>
      <c r="L63" s="26" t="n">
        <f aca="false">K63*(1+L42)</f>
        <v>1.42577322721685</v>
      </c>
      <c r="M63" s="26" t="n">
        <f aca="false">L63*(1+M42)</f>
        <v>1.45428869176119</v>
      </c>
      <c r="N63" s="10" t="s">
        <v>340</v>
      </c>
      <c r="O63" s="10" t="s">
        <v>341</v>
      </c>
    </row>
    <row r="65" customFormat="false" ht="15" hidden="false" customHeight="false" outlineLevel="0" collapsed="false">
      <c r="A65" s="23" t="s">
        <v>342</v>
      </c>
      <c r="B65" s="24" t="s">
        <v>343</v>
      </c>
      <c r="C65" s="25"/>
      <c r="D65" s="25"/>
      <c r="E65" s="25"/>
      <c r="F65" s="25"/>
      <c r="G65" s="25"/>
      <c r="H65" s="25"/>
      <c r="I65" s="25"/>
      <c r="J65" s="25"/>
      <c r="K65" s="25"/>
      <c r="L65" s="25"/>
      <c r="M65" s="25"/>
      <c r="N65" s="25"/>
      <c r="O65" s="25"/>
    </row>
    <row r="66" customFormat="false" ht="15" hidden="false" customHeight="false" outlineLevel="0" collapsed="false">
      <c r="B66" s="7" t="s">
        <v>344</v>
      </c>
      <c r="C66" s="21" t="n">
        <v>307.8</v>
      </c>
      <c r="D66" s="22" t="n">
        <f aca="false">D62*D63</f>
        <v>306.654697674419</v>
      </c>
      <c r="E66" s="22" t="n">
        <f aca="false">E62*E63</f>
        <v>309.684738139535</v>
      </c>
      <c r="F66" s="22" t="n">
        <f aca="false">F62*F63</f>
        <v>312.080295432558</v>
      </c>
      <c r="G66" s="22" t="n">
        <f aca="false">G62*G63</f>
        <v>314.447801122047</v>
      </c>
      <c r="H66" s="22" t="n">
        <f aca="false">H62*H63</f>
        <v>316.785174920941</v>
      </c>
      <c r="I66" s="22" t="n">
        <f aca="false">I62*I63</f>
        <v>319.762033529346</v>
      </c>
      <c r="J66" s="22" t="n">
        <f aca="false">J62*J63</f>
        <v>323.416456769682</v>
      </c>
      <c r="K66" s="22" t="n">
        <f aca="false">K62*K63</f>
        <v>327.089152126219</v>
      </c>
      <c r="L66" s="22" t="n">
        <f aca="false">L62*L63</f>
        <v>330.779388714309</v>
      </c>
      <c r="M66" s="22" t="n">
        <f aca="false">M62*M63</f>
        <v>334.486399105073</v>
      </c>
      <c r="N66" s="10" t="s">
        <v>282</v>
      </c>
      <c r="O66" s="10"/>
    </row>
    <row r="67" customFormat="false" ht="15" hidden="false" customHeight="false" outlineLevel="0" collapsed="false">
      <c r="B67" s="7" t="s">
        <v>345</v>
      </c>
      <c r="C67" s="21" t="n">
        <v>61.6</v>
      </c>
      <c r="D67" s="22" t="n">
        <f aca="false">C67*(1+D43)</f>
        <v>63.448</v>
      </c>
      <c r="E67" s="22" t="n">
        <f aca="false">D67*(1+E43)</f>
        <v>65.35144</v>
      </c>
      <c r="F67" s="22" t="n">
        <f aca="false">E67*(1+F43)</f>
        <v>67.3119832</v>
      </c>
      <c r="G67" s="22" t="n">
        <f aca="false">F67*(1+G43)</f>
        <v>69.331342696</v>
      </c>
      <c r="H67" s="22" t="n">
        <f aca="false">G67*(1+H43)</f>
        <v>71.41128297688</v>
      </c>
      <c r="I67" s="22" t="n">
        <f aca="false">H67*(1+I43)</f>
        <v>73.5536214661864</v>
      </c>
      <c r="J67" s="22" t="n">
        <f aca="false">I67*(1+J43)</f>
        <v>75.760230110172</v>
      </c>
      <c r="K67" s="22" t="n">
        <f aca="false">J67*(1+K43)</f>
        <v>78.0330370134772</v>
      </c>
      <c r="L67" s="22" t="n">
        <f aca="false">K67*(1+L43)</f>
        <v>80.3740281238815</v>
      </c>
      <c r="M67" s="22" t="n">
        <f aca="false">L67*(1+M43)</f>
        <v>82.7852489675979</v>
      </c>
      <c r="N67" s="10" t="s">
        <v>282</v>
      </c>
      <c r="O67" s="10" t="s">
        <v>346</v>
      </c>
    </row>
    <row r="68" customFormat="false" ht="15" hidden="false" customHeight="false" outlineLevel="0" collapsed="false">
      <c r="B68" s="7" t="s">
        <v>347</v>
      </c>
      <c r="C68" s="21" t="n">
        <v>41</v>
      </c>
      <c r="D68" s="22" t="n">
        <f aca="false">(D66+D67)*D44</f>
        <v>41.0813994418605</v>
      </c>
      <c r="E68" s="22" t="n">
        <f aca="false">(E66+E67)*E44</f>
        <v>41.6290157734884</v>
      </c>
      <c r="F68" s="22" t="n">
        <f aca="false">(F66+F67)*F44</f>
        <v>42.112542928214</v>
      </c>
      <c r="G68" s="22" t="n">
        <f aca="false">(G66+G67)*G44</f>
        <v>42.5994849638032</v>
      </c>
      <c r="H68" s="22" t="n">
        <f aca="false">(H66+H67)*H44</f>
        <v>43.0898068266582</v>
      </c>
      <c r="I68" s="22" t="n">
        <f aca="false">(I66+I67)*I44</f>
        <v>43.6580377045041</v>
      </c>
      <c r="J68" s="22" t="n">
        <f aca="false">(J66+J67)*J44</f>
        <v>44.3086122436637</v>
      </c>
      <c r="K68" s="22" t="n">
        <f aca="false">(K66+K67)*K44</f>
        <v>44.9685629945062</v>
      </c>
      <c r="L68" s="22" t="n">
        <f aca="false">(L66+L67)*L44</f>
        <v>45.6380292690392</v>
      </c>
      <c r="M68" s="22" t="n">
        <f aca="false">(M66+M67)*M44</f>
        <v>46.3171529360665</v>
      </c>
      <c r="N68" s="10" t="s">
        <v>282</v>
      </c>
      <c r="O68" s="10" t="s">
        <v>348</v>
      </c>
    </row>
    <row r="69" customFormat="false" ht="15" hidden="false" customHeight="false" outlineLevel="0" collapsed="false">
      <c r="B69" s="7" t="s">
        <v>349</v>
      </c>
      <c r="C69" s="21" t="n">
        <v>0</v>
      </c>
      <c r="D69" s="22" t="n">
        <f aca="false">C69*(1+D45)</f>
        <v>0</v>
      </c>
      <c r="E69" s="22" t="n">
        <f aca="false">D69*(1+E45)</f>
        <v>0</v>
      </c>
      <c r="F69" s="22" t="n">
        <f aca="false">E69*(1+F45)</f>
        <v>0</v>
      </c>
      <c r="G69" s="22" t="n">
        <f aca="false">F69*(1+G45)</f>
        <v>0</v>
      </c>
      <c r="H69" s="22" t="n">
        <f aca="false">G69*(1+H45)</f>
        <v>0</v>
      </c>
      <c r="I69" s="22" t="n">
        <f aca="false">H69*(1+I45)</f>
        <v>0</v>
      </c>
      <c r="J69" s="22" t="n">
        <f aca="false">I69*(1+J45)</f>
        <v>0</v>
      </c>
      <c r="K69" s="22" t="n">
        <f aca="false">J69*(1+K45)</f>
        <v>0</v>
      </c>
      <c r="L69" s="22" t="n">
        <f aca="false">K69*(1+L45)</f>
        <v>0</v>
      </c>
      <c r="M69" s="22" t="n">
        <f aca="false">L69*(1+M45)</f>
        <v>0</v>
      </c>
      <c r="N69" s="10" t="s">
        <v>282</v>
      </c>
      <c r="O69" s="10" t="s">
        <v>350</v>
      </c>
    </row>
    <row r="70" customFormat="false" ht="15" hidden="false" customHeight="false" outlineLevel="0" collapsed="false">
      <c r="B70" s="3" t="s">
        <v>351</v>
      </c>
      <c r="C70" s="27" t="n">
        <f aca="false">SUM(C66:C69)</f>
        <v>410.4</v>
      </c>
      <c r="D70" s="27" t="n">
        <f aca="false">SUM(D66:D69)</f>
        <v>411.184097116279</v>
      </c>
      <c r="E70" s="27" t="n">
        <f aca="false">SUM(E66:E69)</f>
        <v>416.665193913023</v>
      </c>
      <c r="F70" s="27" t="n">
        <f aca="false">SUM(F66:F69)</f>
        <v>421.504821560772</v>
      </c>
      <c r="G70" s="27" t="n">
        <f aca="false">SUM(G66:G69)</f>
        <v>426.37862878185</v>
      </c>
      <c r="H70" s="27" t="n">
        <f aca="false">SUM(H66:H69)</f>
        <v>431.28626472448</v>
      </c>
      <c r="I70" s="27" t="n">
        <f aca="false">SUM(I66:I69)</f>
        <v>436.973692700037</v>
      </c>
      <c r="J70" s="27" t="n">
        <f aca="false">SUM(J66:J69)</f>
        <v>443.485299123517</v>
      </c>
      <c r="K70" s="27" t="n">
        <f aca="false">SUM(K66:K69)</f>
        <v>450.090752134202</v>
      </c>
      <c r="L70" s="27" t="n">
        <f aca="false">SUM(L66:L69)</f>
        <v>456.79144610723</v>
      </c>
      <c r="M70" s="27" t="n">
        <f aca="false">SUM(M66:M69)</f>
        <v>463.588801008737</v>
      </c>
      <c r="N70" s="10" t="s">
        <v>282</v>
      </c>
      <c r="O70" s="10" t="s">
        <v>352</v>
      </c>
    </row>
    <row r="71" customFormat="false" ht="15" hidden="false" customHeight="false" outlineLevel="0" collapsed="false">
      <c r="B71" s="7" t="s">
        <v>353</v>
      </c>
      <c r="D71" s="20" t="n">
        <f aca="false">IF(C70=0,0,D70/C70-1)</f>
        <v>0.00191056802212253</v>
      </c>
      <c r="E71" s="20" t="n">
        <f aca="false">IF(D70=0,0,E70/D70-1)</f>
        <v>0.0133300310862805</v>
      </c>
      <c r="F71" s="20" t="n">
        <f aca="false">IF(E70=0,0,F70/E70-1)</f>
        <v>0.0116151474095987</v>
      </c>
      <c r="G71" s="20" t="n">
        <f aca="false">IF(F70=0,0,G70/F70-1)</f>
        <v>0.0115628741873712</v>
      </c>
      <c r="H71" s="20" t="n">
        <f aca="false">IF(G70=0,0,H70/G70-1)</f>
        <v>0.0115100420409222</v>
      </c>
      <c r="I71" s="20" t="n">
        <f aca="false">IF(H70=0,0,I70/H70-1)</f>
        <v>0.0131871298502639</v>
      </c>
      <c r="J71" s="20" t="n">
        <f aca="false">IF(I70=0,0,J70/I70-1)</f>
        <v>0.0149015982707008</v>
      </c>
      <c r="K71" s="20" t="n">
        <f aca="false">IF(J70=0,0,K70/J70-1)</f>
        <v>0.0148944125628052</v>
      </c>
      <c r="L71" s="20" t="n">
        <f aca="false">IF(K70=0,0,L70/K70-1)</f>
        <v>0.0148874286824494</v>
      </c>
      <c r="M71" s="20" t="n">
        <f aca="false">IF(L70=0,0,M70/L70-1)</f>
        <v>0.0148806527780556</v>
      </c>
      <c r="N71" s="10" t="s">
        <v>354</v>
      </c>
      <c r="O71" s="10"/>
    </row>
    <row r="72" customFormat="false" ht="15" hidden="false" customHeight="false" outlineLevel="0" collapsed="false">
      <c r="B72" s="7" t="s">
        <v>355</v>
      </c>
      <c r="C72" s="21" t="n">
        <v>279.1</v>
      </c>
      <c r="D72" s="22" t="n">
        <f aca="false">D70*D46</f>
        <v>279.60518603907</v>
      </c>
      <c r="E72" s="22" t="n">
        <f aca="false">E70*E46</f>
        <v>283.332331860856</v>
      </c>
      <c r="F72" s="22" t="n">
        <f aca="false">F70*F46</f>
        <v>286.623278661325</v>
      </c>
      <c r="G72" s="22" t="n">
        <f aca="false">G70*G46</f>
        <v>289.937467571658</v>
      </c>
      <c r="H72" s="22" t="n">
        <f aca="false">H70*H46</f>
        <v>293.274660012646</v>
      </c>
      <c r="I72" s="22" t="n">
        <f aca="false">I70*I46</f>
        <v>297.142111036025</v>
      </c>
      <c r="J72" s="22" t="n">
        <f aca="false">J70*J46</f>
        <v>301.570003403992</v>
      </c>
      <c r="K72" s="22" t="n">
        <f aca="false">K70*K46</f>
        <v>306.061711451257</v>
      </c>
      <c r="L72" s="22" t="n">
        <f aca="false">L70*L46</f>
        <v>310.618183352916</v>
      </c>
      <c r="M72" s="22" t="n">
        <f aca="false">M70*M46</f>
        <v>315.240384685941</v>
      </c>
      <c r="N72" s="10" t="s">
        <v>282</v>
      </c>
      <c r="O72" s="10" t="s">
        <v>356</v>
      </c>
    </row>
    <row r="73" customFormat="false" ht="15" hidden="false" customHeight="false" outlineLevel="0" collapsed="false">
      <c r="B73" s="3" t="s">
        <v>357</v>
      </c>
      <c r="C73" s="27" t="n">
        <f aca="false">C70-C72</f>
        <v>131.3</v>
      </c>
      <c r="D73" s="27" t="n">
        <f aca="false">D70-D72</f>
        <v>131.578911077209</v>
      </c>
      <c r="E73" s="27" t="n">
        <f aca="false">E70-E72</f>
        <v>133.332862052167</v>
      </c>
      <c r="F73" s="27" t="n">
        <f aca="false">F70-F72</f>
        <v>134.881542899447</v>
      </c>
      <c r="G73" s="27" t="n">
        <f aca="false">G70-G72</f>
        <v>136.441161210192</v>
      </c>
      <c r="H73" s="27" t="n">
        <f aca="false">H70-H72</f>
        <v>138.011604711833</v>
      </c>
      <c r="I73" s="27" t="n">
        <f aca="false">I70-I72</f>
        <v>139.831581664012</v>
      </c>
      <c r="J73" s="27" t="n">
        <f aca="false">J70-J72</f>
        <v>141.915295719526</v>
      </c>
      <c r="K73" s="27" t="n">
        <f aca="false">K70-K72</f>
        <v>144.029040682945</v>
      </c>
      <c r="L73" s="27" t="n">
        <f aca="false">L70-L72</f>
        <v>146.173262754314</v>
      </c>
      <c r="M73" s="27" t="n">
        <f aca="false">M70-M72</f>
        <v>148.348416322796</v>
      </c>
      <c r="N73" s="10" t="s">
        <v>282</v>
      </c>
      <c r="O73" s="10"/>
    </row>
    <row r="74" customFormat="false" ht="15" hidden="false" customHeight="false" outlineLevel="0" collapsed="false">
      <c r="B74" s="7" t="s">
        <v>358</v>
      </c>
      <c r="C74" s="20" t="n">
        <f aca="false">IF(C70=0,0,C73/C70)</f>
        <v>0.319931773879142</v>
      </c>
      <c r="D74" s="20" t="n">
        <f aca="false">IF(D70=0,0,D73/D70)</f>
        <v>0.32</v>
      </c>
      <c r="E74" s="20" t="n">
        <f aca="false">IF(E70=0,0,E73/E70)</f>
        <v>0.32</v>
      </c>
      <c r="F74" s="20" t="n">
        <f aca="false">IF(F70=0,0,F73/F70)</f>
        <v>0.32</v>
      </c>
      <c r="G74" s="20" t="n">
        <f aca="false">IF(G70=0,0,G73/G70)</f>
        <v>0.32</v>
      </c>
      <c r="H74" s="20" t="n">
        <f aca="false">IF(H70=0,0,H73/H70)</f>
        <v>0.32</v>
      </c>
      <c r="I74" s="20" t="n">
        <f aca="false">IF(I70=0,0,I73/I70)</f>
        <v>0.32</v>
      </c>
      <c r="J74" s="20" t="n">
        <f aca="false">IF(J70=0,0,J73/J70)</f>
        <v>0.32</v>
      </c>
      <c r="K74" s="20" t="n">
        <f aca="false">IF(K70=0,0,K73/K70)</f>
        <v>0.32</v>
      </c>
      <c r="L74" s="20" t="n">
        <f aca="false">IF(L70=0,0,L73/L70)</f>
        <v>0.32</v>
      </c>
      <c r="M74" s="20" t="n">
        <f aca="false">IF(M70=0,0,M73/M70)</f>
        <v>0.32</v>
      </c>
      <c r="N74" s="10" t="s">
        <v>354</v>
      </c>
      <c r="O74" s="10"/>
    </row>
    <row r="75" customFormat="false" ht="15" hidden="false" customHeight="false" outlineLevel="0" collapsed="false">
      <c r="B75" s="7" t="s">
        <v>359</v>
      </c>
      <c r="C75" s="21" t="n">
        <v>61.6</v>
      </c>
      <c r="D75" s="22" t="n">
        <f aca="false">D70*D47</f>
        <v>61.6776145674419</v>
      </c>
      <c r="E75" s="22" t="n">
        <f aca="false">E70*E47</f>
        <v>62.4997790869535</v>
      </c>
      <c r="F75" s="22" t="n">
        <f aca="false">F70*F47</f>
        <v>63.2257232341158</v>
      </c>
      <c r="G75" s="22" t="n">
        <f aca="false">G70*G47</f>
        <v>63.9567943172774</v>
      </c>
      <c r="H75" s="22" t="n">
        <f aca="false">H70*H47</f>
        <v>64.6929397086719</v>
      </c>
      <c r="I75" s="22" t="n">
        <f aca="false">I70*I47</f>
        <v>65.5460539050055</v>
      </c>
      <c r="J75" s="22" t="n">
        <f aca="false">J70*J47</f>
        <v>66.5227948685276</v>
      </c>
      <c r="K75" s="22" t="n">
        <f aca="false">K70*K47</f>
        <v>67.5136128201303</v>
      </c>
      <c r="L75" s="22" t="n">
        <f aca="false">L70*L47</f>
        <v>68.5187169160845</v>
      </c>
      <c r="M75" s="22" t="n">
        <f aca="false">M70*M47</f>
        <v>69.5383201513106</v>
      </c>
      <c r="N75" s="10" t="s">
        <v>282</v>
      </c>
      <c r="O75" s="10"/>
    </row>
    <row r="76" customFormat="false" ht="15" hidden="false" customHeight="false" outlineLevel="0" collapsed="false">
      <c r="B76" s="7" t="s">
        <v>360</v>
      </c>
      <c r="C76" s="21" t="n">
        <v>51.4</v>
      </c>
      <c r="D76" s="22" t="n">
        <f aca="false">C76*(1+D48)-D49</f>
        <v>52.942</v>
      </c>
      <c r="E76" s="22" t="n">
        <f aca="false">D76*(1+E48)-E49</f>
        <v>54.26555</v>
      </c>
      <c r="F76" s="22" t="n">
        <f aca="false">E76*(1+F48)-F49</f>
        <v>55.350861</v>
      </c>
      <c r="G76" s="22" t="n">
        <f aca="false">F76*(1+G48)-G49</f>
        <v>56.45787822</v>
      </c>
      <c r="H76" s="22" t="n">
        <f aca="false">G76*(1+H48)-H49</f>
        <v>57.5870357844</v>
      </c>
      <c r="I76" s="22" t="n">
        <f aca="false">H76*(1+I48)-I49</f>
        <v>58.738776500088</v>
      </c>
      <c r="J76" s="22" t="n">
        <f aca="false">I76*(1+J48)-J49</f>
        <v>59.9135520300898</v>
      </c>
      <c r="K76" s="22" t="n">
        <f aca="false">J76*(1+K48)-K49</f>
        <v>61.1118230706916</v>
      </c>
      <c r="L76" s="22" t="n">
        <f aca="false">K76*(1+L48)-L49</f>
        <v>62.3340595321054</v>
      </c>
      <c r="M76" s="22" t="n">
        <f aca="false">L76*(1+M48)-M49</f>
        <v>63.5807407227475</v>
      </c>
      <c r="N76" s="10" t="s">
        <v>282</v>
      </c>
      <c r="O76" s="10" t="s">
        <v>361</v>
      </c>
    </row>
    <row r="77" customFormat="false" ht="15" hidden="false" customHeight="false" outlineLevel="0" collapsed="false">
      <c r="B77" s="7" t="s">
        <v>362</v>
      </c>
      <c r="C77" s="22" t="n">
        <f aca="false">C75+C76</f>
        <v>113</v>
      </c>
      <c r="D77" s="22" t="n">
        <f aca="false">D75+D76</f>
        <v>114.619614567442</v>
      </c>
      <c r="E77" s="22" t="n">
        <f aca="false">E75+E76</f>
        <v>116.765329086953</v>
      </c>
      <c r="F77" s="22" t="n">
        <f aca="false">F75+F76</f>
        <v>118.576584234116</v>
      </c>
      <c r="G77" s="22" t="n">
        <f aca="false">G75+G76</f>
        <v>120.414672537277</v>
      </c>
      <c r="H77" s="22" t="n">
        <f aca="false">H75+H76</f>
        <v>122.279975493072</v>
      </c>
      <c r="I77" s="22" t="n">
        <f aca="false">I75+I76</f>
        <v>124.284830405093</v>
      </c>
      <c r="J77" s="22" t="n">
        <f aca="false">J75+J76</f>
        <v>126.436346898617</v>
      </c>
      <c r="K77" s="22" t="n">
        <f aca="false">K75+K76</f>
        <v>128.625435890822</v>
      </c>
      <c r="L77" s="22" t="n">
        <f aca="false">L75+L76</f>
        <v>130.85277644819</v>
      </c>
      <c r="M77" s="22" t="n">
        <f aca="false">M75+M76</f>
        <v>133.119060874058</v>
      </c>
      <c r="N77" s="10" t="s">
        <v>282</v>
      </c>
      <c r="O77" s="10"/>
    </row>
    <row r="78" customFormat="false" ht="15" hidden="false" customHeight="false" outlineLevel="0" collapsed="false">
      <c r="B78" s="7" t="s">
        <v>363</v>
      </c>
      <c r="C78" s="20" t="n">
        <f aca="false">IF(C70=0,0,C77/C70)</f>
        <v>0.275341130604289</v>
      </c>
      <c r="D78" s="20" t="n">
        <f aca="false">IF(D70=0,0,D77/D70)</f>
        <v>0.278754979512324</v>
      </c>
      <c r="E78" s="20" t="n">
        <f aca="false">IF(E70=0,0,E77/E70)</f>
        <v>0.280237780339597</v>
      </c>
      <c r="F78" s="20" t="n">
        <f aca="false">IF(F70=0,0,F77/F70)</f>
        <v>0.281317266538123</v>
      </c>
      <c r="G78" s="20" t="n">
        <f aca="false">IF(G70=0,0,G77/G70)</f>
        <v>0.282412542301424</v>
      </c>
      <c r="H78" s="20" t="n">
        <f aca="false">IF(H70=0,0,H77/H70)</f>
        <v>0.283523927132687</v>
      </c>
      <c r="I78" s="20" t="n">
        <f aca="false">IF(I70=0,0,I77/I70)</f>
        <v>0.284421768361258</v>
      </c>
      <c r="J78" s="20" t="n">
        <f aca="false">IF(J70=0,0,J77/J70)</f>
        <v>0.285097041882786</v>
      </c>
      <c r="K78" s="20" t="n">
        <f aca="false">IF(K70=0,0,K77/K70)</f>
        <v>0.285776668996012</v>
      </c>
      <c r="L78" s="20" t="n">
        <f aca="false">IF(L70=0,0,L77/L70)</f>
        <v>0.286460654119764</v>
      </c>
      <c r="M78" s="20" t="n">
        <f aca="false">IF(M70=0,0,M77/M70)</f>
        <v>0.287149000546174</v>
      </c>
      <c r="N78" s="10" t="s">
        <v>354</v>
      </c>
      <c r="O78" s="10"/>
    </row>
    <row r="79" customFormat="false" ht="15" hidden="false" customHeight="false" outlineLevel="0" collapsed="false">
      <c r="B79" s="7" t="s">
        <v>364</v>
      </c>
      <c r="C79" s="21" t="n">
        <v>-2</v>
      </c>
      <c r="D79" s="22" t="n">
        <f aca="false">D50</f>
        <v>0</v>
      </c>
      <c r="E79" s="22" t="n">
        <f aca="false">E50</f>
        <v>0</v>
      </c>
      <c r="F79" s="22" t="n">
        <f aca="false">F50</f>
        <v>0</v>
      </c>
      <c r="G79" s="22" t="n">
        <f aca="false">G50</f>
        <v>0</v>
      </c>
      <c r="H79" s="22" t="n">
        <f aca="false">H50</f>
        <v>0</v>
      </c>
      <c r="I79" s="22" t="n">
        <f aca="false">I50</f>
        <v>0</v>
      </c>
      <c r="J79" s="22" t="n">
        <f aca="false">J50</f>
        <v>0</v>
      </c>
      <c r="K79" s="22" t="n">
        <f aca="false">K50</f>
        <v>0</v>
      </c>
      <c r="L79" s="22" t="n">
        <f aca="false">L50</f>
        <v>0</v>
      </c>
      <c r="M79" s="22" t="n">
        <f aca="false">M50</f>
        <v>0</v>
      </c>
      <c r="N79" s="10" t="s">
        <v>282</v>
      </c>
      <c r="O79" s="10" t="s">
        <v>365</v>
      </c>
    </row>
    <row r="80" customFormat="false" ht="15" hidden="false" customHeight="false" outlineLevel="0" collapsed="false">
      <c r="B80" s="3" t="s">
        <v>366</v>
      </c>
      <c r="C80" s="27" t="n">
        <f aca="false">C73-C77+C79</f>
        <v>16.3</v>
      </c>
      <c r="D80" s="27" t="n">
        <f aca="false">D73-D77+D79</f>
        <v>16.9592965097674</v>
      </c>
      <c r="E80" s="27" t="n">
        <f aca="false">E73-E77+E79</f>
        <v>16.5675329652139</v>
      </c>
      <c r="F80" s="27" t="n">
        <f aca="false">F73-F77+F79</f>
        <v>16.3049586653312</v>
      </c>
      <c r="G80" s="27" t="n">
        <f aca="false">G73-G77+G79</f>
        <v>16.0264886729144</v>
      </c>
      <c r="H80" s="27" t="n">
        <f aca="false">H73-H77+H79</f>
        <v>15.7316292187615</v>
      </c>
      <c r="I80" s="27" t="n">
        <f aca="false">I73-I77+I79</f>
        <v>15.5467512589182</v>
      </c>
      <c r="J80" s="27" t="n">
        <f aca="false">J73-J77+J79</f>
        <v>15.4789488209081</v>
      </c>
      <c r="K80" s="27" t="n">
        <f aca="false">K73-K77+K79</f>
        <v>15.4036047921227</v>
      </c>
      <c r="L80" s="27" t="n">
        <f aca="false">L73-L77+L79</f>
        <v>15.3204863061236</v>
      </c>
      <c r="M80" s="27" t="n">
        <f aca="false">M73-M77+M79</f>
        <v>15.2293554487379</v>
      </c>
      <c r="N80" s="10" t="s">
        <v>282</v>
      </c>
      <c r="O80" s="10" t="s">
        <v>367</v>
      </c>
    </row>
    <row r="81" customFormat="false" ht="15" hidden="false" customHeight="false" outlineLevel="0" collapsed="false">
      <c r="B81" s="7" t="s">
        <v>368</v>
      </c>
      <c r="C81" s="20" t="n">
        <f aca="false">IF(C70=0,0,C80/C70)</f>
        <v>0.0397173489278753</v>
      </c>
      <c r="D81" s="20" t="n">
        <f aca="false">IF(D70=0,0,D80/D70)</f>
        <v>0.0412450204876759</v>
      </c>
      <c r="E81" s="20" t="n">
        <f aca="false">IF(E70=0,0,E80/E70)</f>
        <v>0.0397622196604027</v>
      </c>
      <c r="F81" s="20" t="n">
        <f aca="false">IF(F70=0,0,F80/F70)</f>
        <v>0.0386827334618766</v>
      </c>
      <c r="G81" s="20" t="n">
        <f aca="false">IF(G70=0,0,G80/G70)</f>
        <v>0.0375874576985755</v>
      </c>
      <c r="H81" s="20" t="n">
        <f aca="false">IF(H70=0,0,H80/H70)</f>
        <v>0.0364760728673133</v>
      </c>
      <c r="I81" s="20" t="n">
        <f aca="false">IF(I70=0,0,I80/I70)</f>
        <v>0.0355782316387417</v>
      </c>
      <c r="J81" s="20" t="n">
        <f aca="false">IF(J70=0,0,J80/J70)</f>
        <v>0.0349029581172137</v>
      </c>
      <c r="K81" s="20" t="n">
        <f aca="false">IF(K70=0,0,K80/K70)</f>
        <v>0.0342233310039881</v>
      </c>
      <c r="L81" s="20" t="n">
        <f aca="false">IF(L70=0,0,L80/L70)</f>
        <v>0.0335393458802361</v>
      </c>
      <c r="M81" s="20" t="n">
        <f aca="false">IF(M70=0,0,M80/M70)</f>
        <v>0.032850999453826</v>
      </c>
      <c r="N81" s="10" t="s">
        <v>354</v>
      </c>
      <c r="O81" s="10"/>
    </row>
    <row r="82" customFormat="false" ht="15" hidden="false" customHeight="false" outlineLevel="0" collapsed="false">
      <c r="B82" s="7" t="s">
        <v>369</v>
      </c>
      <c r="C82" s="21" t="n">
        <v>0.3</v>
      </c>
      <c r="D82" s="22" t="n">
        <f aca="false">C104*D51</f>
        <v>0.3689</v>
      </c>
      <c r="E82" s="22" t="n">
        <f aca="false">D104*E51</f>
        <v>0.3689</v>
      </c>
      <c r="F82" s="22" t="n">
        <f aca="false">E104*F51</f>
        <v>0.3689</v>
      </c>
      <c r="G82" s="22" t="n">
        <f aca="false">F104*G51</f>
        <v>0.3689</v>
      </c>
      <c r="H82" s="22" t="n">
        <f aca="false">G104*H51</f>
        <v>0.3689</v>
      </c>
      <c r="I82" s="22" t="n">
        <f aca="false">H104*I51</f>
        <v>0.3689</v>
      </c>
      <c r="J82" s="22" t="n">
        <f aca="false">I104*J51</f>
        <v>0.3689</v>
      </c>
      <c r="K82" s="22" t="n">
        <f aca="false">J104*K51</f>
        <v>0.3689</v>
      </c>
      <c r="L82" s="22" t="n">
        <f aca="false">K104*L51</f>
        <v>0.3689</v>
      </c>
      <c r="M82" s="22" t="n">
        <f aca="false">L104*M51</f>
        <v>0.3689</v>
      </c>
      <c r="N82" s="10" t="s">
        <v>282</v>
      </c>
      <c r="O82" s="10" t="s">
        <v>370</v>
      </c>
    </row>
    <row r="83" customFormat="false" ht="15" hidden="false" customHeight="false" outlineLevel="0" collapsed="false">
      <c r="B83" s="7" t="s">
        <v>371</v>
      </c>
      <c r="C83" s="21" t="n">
        <v>0</v>
      </c>
      <c r="D83" s="22" t="n">
        <f aca="false">C107*D52</f>
        <v>0</v>
      </c>
      <c r="E83" s="22" t="n">
        <f aca="false">D107*E52</f>
        <v>0</v>
      </c>
      <c r="F83" s="22" t="n">
        <f aca="false">E107*F52</f>
        <v>0</v>
      </c>
      <c r="G83" s="22" t="n">
        <f aca="false">F107*G52</f>
        <v>0</v>
      </c>
      <c r="H83" s="22" t="n">
        <f aca="false">G107*H52</f>
        <v>0</v>
      </c>
      <c r="I83" s="22" t="n">
        <f aca="false">H107*I52</f>
        <v>0</v>
      </c>
      <c r="J83" s="22" t="n">
        <f aca="false">I107*J52</f>
        <v>0</v>
      </c>
      <c r="K83" s="22" t="n">
        <f aca="false">J107*K52</f>
        <v>0</v>
      </c>
      <c r="L83" s="22" t="n">
        <f aca="false">K107*L52</f>
        <v>0</v>
      </c>
      <c r="M83" s="22" t="n">
        <f aca="false">L107*M52</f>
        <v>0</v>
      </c>
      <c r="N83" s="10" t="s">
        <v>282</v>
      </c>
      <c r="O83" s="10"/>
    </row>
    <row r="84" customFormat="false" ht="15" hidden="false" customHeight="false" outlineLevel="0" collapsed="false">
      <c r="B84" s="3" t="s">
        <v>372</v>
      </c>
      <c r="C84" s="27" t="n">
        <f aca="false">C80+C82-C83</f>
        <v>16.6</v>
      </c>
      <c r="D84" s="27" t="n">
        <f aca="false">D80+D82-D83</f>
        <v>17.3281965097674</v>
      </c>
      <c r="E84" s="27" t="n">
        <f aca="false">E80+E82-E83</f>
        <v>16.9364329652139</v>
      </c>
      <c r="F84" s="27" t="n">
        <f aca="false">F80+F82-F83</f>
        <v>16.6738586653312</v>
      </c>
      <c r="G84" s="27" t="n">
        <f aca="false">G80+G82-G83</f>
        <v>16.3953886729144</v>
      </c>
      <c r="H84" s="27" t="n">
        <f aca="false">H80+H82-H83</f>
        <v>16.1005292187615</v>
      </c>
      <c r="I84" s="27" t="n">
        <f aca="false">I80+I82-I83</f>
        <v>15.9156512589182</v>
      </c>
      <c r="J84" s="27" t="n">
        <f aca="false">J80+J82-J83</f>
        <v>15.8478488209081</v>
      </c>
      <c r="K84" s="27" t="n">
        <f aca="false">K80+K82-K83</f>
        <v>15.7725047921227</v>
      </c>
      <c r="L84" s="27" t="n">
        <f aca="false">L80+L82-L83</f>
        <v>15.6893863061236</v>
      </c>
      <c r="M84" s="27" t="n">
        <f aca="false">M80+M82-M83</f>
        <v>15.5982554487379</v>
      </c>
      <c r="N84" s="10" t="s">
        <v>282</v>
      </c>
      <c r="O84" s="10"/>
    </row>
    <row r="85" customFormat="false" ht="15" hidden="false" customHeight="false" outlineLevel="0" collapsed="false">
      <c r="B85" s="7" t="s">
        <v>373</v>
      </c>
      <c r="C85" s="20" t="n">
        <f aca="false">IF(C70=0,0,C84/C70)</f>
        <v>0.0404483430799221</v>
      </c>
      <c r="D85" s="20" t="n">
        <f aca="false">IF(D70=0,0,D84/D70)</f>
        <v>0.0421421855351258</v>
      </c>
      <c r="E85" s="20" t="n">
        <f aca="false">IF(E70=0,0,E84/E70)</f>
        <v>0.040647582789815</v>
      </c>
      <c r="F85" s="20" t="n">
        <f aca="false">IF(F70=0,0,F84/F70)</f>
        <v>0.0395579310423788</v>
      </c>
      <c r="G85" s="20" t="n">
        <f aca="false">IF(G70=0,0,G84/G70)</f>
        <v>0.038452651155982</v>
      </c>
      <c r="H85" s="20" t="n">
        <f aca="false">IF(H70=0,0,H84/H70)</f>
        <v>0.0373314212291158</v>
      </c>
      <c r="I85" s="20" t="n">
        <f aca="false">IF(I70=0,0,I84/I70)</f>
        <v>0.0364224472200518</v>
      </c>
      <c r="J85" s="20" t="n">
        <f aca="false">IF(J70=0,0,J84/J70)</f>
        <v>0.0357347782490853</v>
      </c>
      <c r="K85" s="20" t="n">
        <f aca="false">IF(K70=0,0,K84/K70)</f>
        <v>0.0350429434893608</v>
      </c>
      <c r="L85" s="20" t="n">
        <f aca="false">IF(L70=0,0,L84/L70)</f>
        <v>0.0343469354337266</v>
      </c>
      <c r="M85" s="20" t="n">
        <f aca="false">IF(M70=0,0,M84/M70)</f>
        <v>0.0336467477531751</v>
      </c>
      <c r="N85" s="10" t="s">
        <v>354</v>
      </c>
      <c r="O85" s="10"/>
    </row>
    <row r="86" customFormat="false" ht="15" hidden="false" customHeight="false" outlineLevel="0" collapsed="false">
      <c r="B86" s="7" t="s">
        <v>374</v>
      </c>
      <c r="C86" s="21" t="n">
        <v>4.3</v>
      </c>
      <c r="D86" s="22" t="n">
        <f aca="false">D84*D53</f>
        <v>4.33204912744186</v>
      </c>
      <c r="E86" s="22" t="n">
        <f aca="false">E84*E53</f>
        <v>4.23410824130348</v>
      </c>
      <c r="F86" s="22" t="n">
        <f aca="false">F84*F53</f>
        <v>4.1684646663328</v>
      </c>
      <c r="G86" s="22" t="n">
        <f aca="false">G84*G53</f>
        <v>4.0988471682286</v>
      </c>
      <c r="H86" s="22" t="n">
        <f aca="false">H84*H53</f>
        <v>4.02513230469037</v>
      </c>
      <c r="I86" s="22" t="n">
        <f aca="false">I84*I53</f>
        <v>3.97891281472956</v>
      </c>
      <c r="J86" s="22" t="n">
        <f aca="false">J84*J53</f>
        <v>3.96196220522703</v>
      </c>
      <c r="K86" s="22" t="n">
        <f aca="false">K84*K53</f>
        <v>3.94312619803068</v>
      </c>
      <c r="L86" s="22" t="n">
        <f aca="false">L84*L53</f>
        <v>3.92234657653091</v>
      </c>
      <c r="M86" s="22" t="n">
        <f aca="false">M84*M53</f>
        <v>3.89956386218447</v>
      </c>
      <c r="N86" s="10" t="s">
        <v>282</v>
      </c>
      <c r="O86" s="10" t="s">
        <v>375</v>
      </c>
    </row>
    <row r="87" customFormat="false" ht="15" hidden="false" customHeight="false" outlineLevel="0" collapsed="false">
      <c r="B87" s="3" t="s">
        <v>376</v>
      </c>
      <c r="C87" s="27" t="n">
        <f aca="false">C84-C86</f>
        <v>12.3</v>
      </c>
      <c r="D87" s="27" t="n">
        <f aca="false">D84-D86</f>
        <v>12.9961473823256</v>
      </c>
      <c r="E87" s="27" t="n">
        <f aca="false">E84-E86</f>
        <v>12.7023247239104</v>
      </c>
      <c r="F87" s="27" t="n">
        <f aca="false">F84-F86</f>
        <v>12.5053939989984</v>
      </c>
      <c r="G87" s="27" t="n">
        <f aca="false">G84-G86</f>
        <v>12.2965415046858</v>
      </c>
      <c r="H87" s="27" t="n">
        <f aca="false">H84-H86</f>
        <v>12.0753969140711</v>
      </c>
      <c r="I87" s="27" t="n">
        <f aca="false">I84-I86</f>
        <v>11.9367384441887</v>
      </c>
      <c r="J87" s="27" t="n">
        <f aca="false">J84-J86</f>
        <v>11.8858866156811</v>
      </c>
      <c r="K87" s="27" t="n">
        <f aca="false">K84-K86</f>
        <v>11.8293785940921</v>
      </c>
      <c r="L87" s="27" t="n">
        <f aca="false">L84-L86</f>
        <v>11.7670397295927</v>
      </c>
      <c r="M87" s="27" t="n">
        <f aca="false">M84-M86</f>
        <v>11.6986915865534</v>
      </c>
      <c r="N87" s="10" t="s">
        <v>282</v>
      </c>
      <c r="O87" s="10"/>
    </row>
    <row r="88" customFormat="false" ht="15" hidden="false" customHeight="false" outlineLevel="0" collapsed="false">
      <c r="B88" s="7" t="s">
        <v>377</v>
      </c>
      <c r="C88" s="20" t="n">
        <f aca="false">IF(C70=0,0,C87/C70)</f>
        <v>0.0299707602339182</v>
      </c>
      <c r="D88" s="20" t="n">
        <f aca="false">IF(D70=0,0,D87/D70)</f>
        <v>0.0316066391513444</v>
      </c>
      <c r="E88" s="20" t="n">
        <f aca="false">IF(E70=0,0,E87/E70)</f>
        <v>0.0304856870923612</v>
      </c>
      <c r="F88" s="20" t="n">
        <f aca="false">IF(F70=0,0,F87/F70)</f>
        <v>0.0296684482817841</v>
      </c>
      <c r="G88" s="20" t="n">
        <f aca="false">IF(G70=0,0,G87/G70)</f>
        <v>0.0288394883669865</v>
      </c>
      <c r="H88" s="20" t="n">
        <f aca="false">IF(H70=0,0,H87/H70)</f>
        <v>0.0279985659218368</v>
      </c>
      <c r="I88" s="20" t="n">
        <f aca="false">IF(I70=0,0,I87/I70)</f>
        <v>0.0273168354150389</v>
      </c>
      <c r="J88" s="20" t="n">
        <f aca="false">IF(J70=0,0,J87/J70)</f>
        <v>0.0268010836868139</v>
      </c>
      <c r="K88" s="20" t="n">
        <f aca="false">IF(K70=0,0,K87/K70)</f>
        <v>0.0262822076170206</v>
      </c>
      <c r="L88" s="20" t="n">
        <f aca="false">IF(L70=0,0,L87/L70)</f>
        <v>0.025760201575295</v>
      </c>
      <c r="M88" s="20" t="n">
        <f aca="false">IF(M70=0,0,M87/M70)</f>
        <v>0.0252350608148813</v>
      </c>
      <c r="N88" s="10" t="s">
        <v>354</v>
      </c>
      <c r="O88" s="10"/>
    </row>
    <row r="90" customFormat="false" ht="15" hidden="false" customHeight="false" outlineLevel="0" collapsed="false">
      <c r="A90" s="23" t="s">
        <v>172</v>
      </c>
      <c r="B90" s="24" t="s">
        <v>378</v>
      </c>
      <c r="C90" s="25"/>
      <c r="D90" s="25"/>
      <c r="E90" s="25"/>
      <c r="F90" s="25"/>
      <c r="G90" s="25"/>
      <c r="H90" s="25"/>
      <c r="I90" s="25"/>
      <c r="J90" s="25"/>
      <c r="K90" s="25"/>
      <c r="L90" s="25"/>
      <c r="M90" s="25"/>
      <c r="N90" s="25"/>
      <c r="O90" s="25"/>
    </row>
    <row r="91" customFormat="false" ht="15" hidden="false" customHeight="false" outlineLevel="0" collapsed="false">
      <c r="B91" s="7" t="s">
        <v>379</v>
      </c>
      <c r="C91" s="22" t="n">
        <f aca="false">C87</f>
        <v>12.3</v>
      </c>
      <c r="D91" s="22" t="n">
        <f aca="false">D87</f>
        <v>12.9961473823256</v>
      </c>
      <c r="E91" s="22" t="n">
        <f aca="false">E87</f>
        <v>12.7023247239104</v>
      </c>
      <c r="F91" s="22" t="n">
        <f aca="false">F87</f>
        <v>12.5053939989984</v>
      </c>
      <c r="G91" s="22" t="n">
        <f aca="false">G87</f>
        <v>12.2965415046858</v>
      </c>
      <c r="H91" s="22" t="n">
        <f aca="false">H87</f>
        <v>12.0753969140711</v>
      </c>
      <c r="I91" s="22" t="n">
        <f aca="false">I87</f>
        <v>11.9367384441887</v>
      </c>
      <c r="J91" s="22" t="n">
        <f aca="false">J87</f>
        <v>11.8858866156811</v>
      </c>
      <c r="K91" s="22" t="n">
        <f aca="false">K87</f>
        <v>11.8293785940921</v>
      </c>
      <c r="L91" s="22" t="n">
        <f aca="false">L87</f>
        <v>11.7670397295927</v>
      </c>
      <c r="M91" s="22" t="n">
        <f aca="false">M87</f>
        <v>11.6986915865534</v>
      </c>
      <c r="N91" s="10" t="s">
        <v>282</v>
      </c>
      <c r="O91" s="10" t="s">
        <v>380</v>
      </c>
    </row>
    <row r="92" customFormat="false" ht="15" hidden="false" customHeight="false" outlineLevel="0" collapsed="false">
      <c r="B92" s="7" t="s">
        <v>381</v>
      </c>
      <c r="C92" s="22" t="n">
        <f aca="false">C87-C91</f>
        <v>0</v>
      </c>
      <c r="D92" s="22" t="n">
        <f aca="false">D87-D91</f>
        <v>0</v>
      </c>
      <c r="E92" s="22" t="n">
        <f aca="false">E87-E91</f>
        <v>0</v>
      </c>
      <c r="F92" s="22" t="n">
        <f aca="false">F87-F91</f>
        <v>0</v>
      </c>
      <c r="G92" s="22" t="n">
        <f aca="false">G87-G91</f>
        <v>0</v>
      </c>
      <c r="H92" s="22" t="n">
        <f aca="false">H87-H91</f>
        <v>0</v>
      </c>
      <c r="I92" s="22" t="n">
        <f aca="false">I87-I91</f>
        <v>0</v>
      </c>
      <c r="J92" s="22" t="n">
        <f aca="false">J87-J91</f>
        <v>0</v>
      </c>
      <c r="K92" s="22" t="n">
        <f aca="false">K87-K91</f>
        <v>0</v>
      </c>
      <c r="L92" s="22" t="n">
        <f aca="false">L87-L91</f>
        <v>0</v>
      </c>
      <c r="M92" s="22" t="n">
        <f aca="false">M87-M91</f>
        <v>0</v>
      </c>
      <c r="N92" s="10" t="s">
        <v>282</v>
      </c>
      <c r="O92" s="10" t="s">
        <v>382</v>
      </c>
    </row>
    <row r="93" customFormat="false" ht="15" hidden="false" customHeight="false" outlineLevel="0" collapsed="false">
      <c r="B93" s="7" t="s">
        <v>383</v>
      </c>
      <c r="D93" s="22" t="n">
        <f aca="false">D91</f>
        <v>12.9961473823256</v>
      </c>
      <c r="E93" s="22" t="n">
        <f aca="false">E91</f>
        <v>12.7023247239104</v>
      </c>
      <c r="F93" s="22" t="n">
        <f aca="false">F91</f>
        <v>12.5053939989984</v>
      </c>
      <c r="G93" s="22" t="n">
        <f aca="false">G91</f>
        <v>12.2965415046858</v>
      </c>
      <c r="H93" s="22" t="n">
        <f aca="false">H91</f>
        <v>12.0753969140711</v>
      </c>
      <c r="I93" s="22" t="n">
        <f aca="false">I91</f>
        <v>11.9367384441887</v>
      </c>
      <c r="J93" s="22" t="n">
        <f aca="false">J91</f>
        <v>11.8858866156811</v>
      </c>
      <c r="K93" s="22" t="n">
        <f aca="false">K91</f>
        <v>11.8293785940921</v>
      </c>
      <c r="L93" s="22" t="n">
        <f aca="false">L91</f>
        <v>11.7670397295927</v>
      </c>
      <c r="M93" s="22" t="n">
        <f aca="false">M91</f>
        <v>11.6986915865534</v>
      </c>
      <c r="N93" s="10" t="s">
        <v>282</v>
      </c>
      <c r="O93" s="10"/>
    </row>
    <row r="94" customFormat="false" ht="15" hidden="false" customHeight="false" outlineLevel="0" collapsed="false">
      <c r="B94" s="7" t="s">
        <v>384</v>
      </c>
      <c r="C94" s="20" t="n">
        <f aca="false">D54</f>
        <v>0.12</v>
      </c>
      <c r="N94" s="10" t="s">
        <v>354</v>
      </c>
      <c r="O94" s="10" t="s">
        <v>385</v>
      </c>
    </row>
    <row r="95" customFormat="false" ht="15" hidden="false" customHeight="false" outlineLevel="0" collapsed="false">
      <c r="B95" s="7" t="s">
        <v>386</v>
      </c>
      <c r="C95" s="22" t="n">
        <f aca="false">M110</f>
        <v>118.5</v>
      </c>
      <c r="N95" s="10" t="s">
        <v>282</v>
      </c>
      <c r="O95" s="10"/>
    </row>
    <row r="96" customFormat="false" ht="15" hidden="false" customHeight="false" outlineLevel="0" collapsed="false">
      <c r="B96" s="7" t="s">
        <v>387</v>
      </c>
      <c r="C96" s="22" t="n">
        <f aca="false">NPV(C94,D93:M93)</f>
        <v>69.5093502524849</v>
      </c>
      <c r="N96" s="10" t="s">
        <v>282</v>
      </c>
      <c r="O96" s="10" t="s">
        <v>388</v>
      </c>
    </row>
    <row r="97" customFormat="false" ht="15" hidden="false" customHeight="false" outlineLevel="0" collapsed="false">
      <c r="B97" s="7" t="s">
        <v>389</v>
      </c>
      <c r="C97" s="22" t="n">
        <f aca="false">C95/(1+C94)^10</f>
        <v>38.1538285359975</v>
      </c>
      <c r="N97" s="10" t="s">
        <v>282</v>
      </c>
      <c r="O97" s="10" t="s">
        <v>390</v>
      </c>
    </row>
    <row r="98" customFormat="false" ht="15" hidden="false" customHeight="false" outlineLevel="0" collapsed="false">
      <c r="B98" s="3" t="s">
        <v>391</v>
      </c>
      <c r="C98" s="28" t="n">
        <v>107.66</v>
      </c>
      <c r="N98" s="10" t="s">
        <v>282</v>
      </c>
      <c r="O98" s="10" t="s">
        <v>392</v>
      </c>
    </row>
    <row r="99" customFormat="false" ht="15" hidden="false" customHeight="false" outlineLevel="0" collapsed="false">
      <c r="B99" s="3" t="s">
        <v>393</v>
      </c>
      <c r="C99" s="27" t="n">
        <f aca="false">C96+C97</f>
        <v>107.663178788482</v>
      </c>
      <c r="N99" s="10" t="s">
        <v>282</v>
      </c>
      <c r="O99" s="10" t="s">
        <v>394</v>
      </c>
    </row>
    <row r="100" customFormat="false" ht="15" hidden="false" customHeight="false" outlineLevel="0" collapsed="false">
      <c r="B100" s="7" t="s">
        <v>395</v>
      </c>
      <c r="C100" s="20" t="n">
        <f aca="false">IF(C98=0,0,C99/C98-1)</f>
        <v>2.9526179475603E-005</v>
      </c>
      <c r="N100" s="10" t="s">
        <v>354</v>
      </c>
      <c r="O100" s="10"/>
    </row>
    <row r="101" customFormat="false" ht="15" hidden="false" customHeight="false" outlineLevel="0" collapsed="false">
      <c r="B101" s="7" t="s">
        <v>396</v>
      </c>
      <c r="C101" s="22" t="n">
        <f aca="false">C99-C98</f>
        <v>0.00317878848234443</v>
      </c>
      <c r="N101" s="10" t="s">
        <v>282</v>
      </c>
      <c r="O101" s="10"/>
    </row>
    <row r="103" customFormat="false" ht="15" hidden="false" customHeight="false" outlineLevel="0" collapsed="false">
      <c r="A103" s="23" t="s">
        <v>149</v>
      </c>
      <c r="B103" s="24" t="s">
        <v>397</v>
      </c>
      <c r="C103" s="25"/>
      <c r="D103" s="25"/>
      <c r="E103" s="25"/>
      <c r="F103" s="25"/>
      <c r="G103" s="25"/>
      <c r="H103" s="25"/>
      <c r="I103" s="25"/>
      <c r="J103" s="25"/>
      <c r="K103" s="25"/>
      <c r="L103" s="25"/>
      <c r="M103" s="25"/>
      <c r="N103" s="25"/>
      <c r="O103" s="25"/>
    </row>
    <row r="104" customFormat="false" ht="15" hidden="false" customHeight="false" outlineLevel="0" collapsed="false">
      <c r="B104" s="7" t="s">
        <v>398</v>
      </c>
      <c r="C104" s="21" t="n">
        <v>52.7</v>
      </c>
      <c r="D104" s="22" t="n">
        <f aca="false">C104+D92</f>
        <v>52.7</v>
      </c>
      <c r="E104" s="22" t="n">
        <f aca="false">D104+E92</f>
        <v>52.7</v>
      </c>
      <c r="F104" s="22" t="n">
        <f aca="false">E104+F92</f>
        <v>52.7</v>
      </c>
      <c r="G104" s="22" t="n">
        <f aca="false">F104+G92</f>
        <v>52.7</v>
      </c>
      <c r="H104" s="22" t="n">
        <f aca="false">G104+H92</f>
        <v>52.7</v>
      </c>
      <c r="I104" s="22" t="n">
        <f aca="false">H104+I92</f>
        <v>52.7</v>
      </c>
      <c r="J104" s="22" t="n">
        <f aca="false">I104+J92</f>
        <v>52.7</v>
      </c>
      <c r="K104" s="22" t="n">
        <f aca="false">J104+K92</f>
        <v>52.7</v>
      </c>
      <c r="L104" s="22" t="n">
        <f aca="false">K104+L92</f>
        <v>52.7</v>
      </c>
      <c r="M104" s="22" t="n">
        <f aca="false">L104+M92</f>
        <v>52.7</v>
      </c>
      <c r="N104" s="10" t="s">
        <v>282</v>
      </c>
      <c r="O104" s="10" t="s">
        <v>399</v>
      </c>
    </row>
    <row r="105" customFormat="false" ht="15" hidden="false" customHeight="false" outlineLevel="0" collapsed="false">
      <c r="B105" s="7" t="s">
        <v>400</v>
      </c>
      <c r="C105" s="21" t="n">
        <v>116.9</v>
      </c>
      <c r="D105" s="22" t="n">
        <f aca="false">C105</f>
        <v>116.9</v>
      </c>
      <c r="E105" s="22" t="n">
        <f aca="false">D105</f>
        <v>116.9</v>
      </c>
      <c r="F105" s="22" t="n">
        <f aca="false">E105</f>
        <v>116.9</v>
      </c>
      <c r="G105" s="22" t="n">
        <f aca="false">F105</f>
        <v>116.9</v>
      </c>
      <c r="H105" s="22" t="n">
        <f aca="false">G105</f>
        <v>116.9</v>
      </c>
      <c r="I105" s="22" t="n">
        <f aca="false">H105</f>
        <v>116.9</v>
      </c>
      <c r="J105" s="22" t="n">
        <f aca="false">I105</f>
        <v>116.9</v>
      </c>
      <c r="K105" s="22" t="n">
        <f aca="false">J105</f>
        <v>116.9</v>
      </c>
      <c r="L105" s="22" t="n">
        <f aca="false">K105</f>
        <v>116.9</v>
      </c>
      <c r="M105" s="22" t="n">
        <f aca="false">L105</f>
        <v>116.9</v>
      </c>
      <c r="N105" s="10" t="s">
        <v>282</v>
      </c>
      <c r="O105" s="10" t="s">
        <v>401</v>
      </c>
    </row>
    <row r="106" customFormat="false" ht="15" hidden="false" customHeight="false" outlineLevel="0" collapsed="false">
      <c r="B106" s="3" t="s">
        <v>402</v>
      </c>
      <c r="C106" s="27" t="n">
        <f aca="false">C104+C105</f>
        <v>169.6</v>
      </c>
      <c r="D106" s="27" t="n">
        <f aca="false">D104+D105</f>
        <v>169.6</v>
      </c>
      <c r="E106" s="27" t="n">
        <f aca="false">E104+E105</f>
        <v>169.6</v>
      </c>
      <c r="F106" s="27" t="n">
        <f aca="false">F104+F105</f>
        <v>169.6</v>
      </c>
      <c r="G106" s="27" t="n">
        <f aca="false">G104+G105</f>
        <v>169.6</v>
      </c>
      <c r="H106" s="27" t="n">
        <f aca="false">H104+H105</f>
        <v>169.6</v>
      </c>
      <c r="I106" s="27" t="n">
        <f aca="false">I104+I105</f>
        <v>169.6</v>
      </c>
      <c r="J106" s="27" t="n">
        <f aca="false">J104+J105</f>
        <v>169.6</v>
      </c>
      <c r="K106" s="27" t="n">
        <f aca="false">K104+K105</f>
        <v>169.6</v>
      </c>
      <c r="L106" s="27" t="n">
        <f aca="false">L104+L105</f>
        <v>169.6</v>
      </c>
      <c r="M106" s="27" t="n">
        <f aca="false">M104+M105</f>
        <v>169.6</v>
      </c>
      <c r="N106" s="10" t="s">
        <v>282</v>
      </c>
      <c r="O106" s="10"/>
    </row>
    <row r="107" customFormat="false" ht="15" hidden="false" customHeight="false" outlineLevel="0" collapsed="false">
      <c r="B107" s="7" t="s">
        <v>403</v>
      </c>
      <c r="C107" s="21" t="n">
        <v>0</v>
      </c>
      <c r="D107" s="22" t="n">
        <f aca="false">C107</f>
        <v>0</v>
      </c>
      <c r="E107" s="22" t="n">
        <f aca="false">D107</f>
        <v>0</v>
      </c>
      <c r="F107" s="22" t="n">
        <f aca="false">E107</f>
        <v>0</v>
      </c>
      <c r="G107" s="22" t="n">
        <f aca="false">F107</f>
        <v>0</v>
      </c>
      <c r="H107" s="22" t="n">
        <f aca="false">G107</f>
        <v>0</v>
      </c>
      <c r="I107" s="22" t="n">
        <f aca="false">H107</f>
        <v>0</v>
      </c>
      <c r="J107" s="22" t="n">
        <f aca="false">I107</f>
        <v>0</v>
      </c>
      <c r="K107" s="22" t="n">
        <f aca="false">J107</f>
        <v>0</v>
      </c>
      <c r="L107" s="22" t="n">
        <f aca="false">K107</f>
        <v>0</v>
      </c>
      <c r="M107" s="22" t="n">
        <f aca="false">L107</f>
        <v>0</v>
      </c>
      <c r="N107" s="10" t="s">
        <v>282</v>
      </c>
      <c r="O107" s="10"/>
    </row>
    <row r="108" customFormat="false" ht="15" hidden="false" customHeight="false" outlineLevel="0" collapsed="false">
      <c r="B108" s="7" t="s">
        <v>404</v>
      </c>
      <c r="C108" s="21" t="n">
        <v>51.1</v>
      </c>
      <c r="D108" s="22" t="n">
        <f aca="false">C108</f>
        <v>51.1</v>
      </c>
      <c r="E108" s="22" t="n">
        <f aca="false">D108</f>
        <v>51.1</v>
      </c>
      <c r="F108" s="22" t="n">
        <f aca="false">E108</f>
        <v>51.1</v>
      </c>
      <c r="G108" s="22" t="n">
        <f aca="false">F108</f>
        <v>51.1</v>
      </c>
      <c r="H108" s="22" t="n">
        <f aca="false">G108</f>
        <v>51.1</v>
      </c>
      <c r="I108" s="22" t="n">
        <f aca="false">H108</f>
        <v>51.1</v>
      </c>
      <c r="J108" s="22" t="n">
        <f aca="false">I108</f>
        <v>51.1</v>
      </c>
      <c r="K108" s="22" t="n">
        <f aca="false">J108</f>
        <v>51.1</v>
      </c>
      <c r="L108" s="22" t="n">
        <f aca="false">K108</f>
        <v>51.1</v>
      </c>
      <c r="M108" s="22" t="n">
        <f aca="false">L108</f>
        <v>51.1</v>
      </c>
      <c r="N108" s="10" t="s">
        <v>282</v>
      </c>
      <c r="O108" s="10" t="s">
        <v>405</v>
      </c>
    </row>
    <row r="109" customFormat="false" ht="15" hidden="false" customHeight="false" outlineLevel="0" collapsed="false">
      <c r="B109" s="3" t="s">
        <v>406</v>
      </c>
      <c r="C109" s="27" t="n">
        <f aca="false">C107+C108</f>
        <v>51.1</v>
      </c>
      <c r="D109" s="27" t="n">
        <f aca="false">D107+D108</f>
        <v>51.1</v>
      </c>
      <c r="E109" s="27" t="n">
        <f aca="false">E107+E108</f>
        <v>51.1</v>
      </c>
      <c r="F109" s="27" t="n">
        <f aca="false">F107+F108</f>
        <v>51.1</v>
      </c>
      <c r="G109" s="27" t="n">
        <f aca="false">G107+G108</f>
        <v>51.1</v>
      </c>
      <c r="H109" s="27" t="n">
        <f aca="false">H107+H108</f>
        <v>51.1</v>
      </c>
      <c r="I109" s="27" t="n">
        <f aca="false">I107+I108</f>
        <v>51.1</v>
      </c>
      <c r="J109" s="27" t="n">
        <f aca="false">J107+J108</f>
        <v>51.1</v>
      </c>
      <c r="K109" s="27" t="n">
        <f aca="false">K107+K108</f>
        <v>51.1</v>
      </c>
      <c r="L109" s="27" t="n">
        <f aca="false">L107+L108</f>
        <v>51.1</v>
      </c>
      <c r="M109" s="27" t="n">
        <f aca="false">M107+M108</f>
        <v>51.1</v>
      </c>
      <c r="N109" s="10" t="s">
        <v>282</v>
      </c>
      <c r="O109" s="10"/>
    </row>
    <row r="110" customFormat="false" ht="15" hidden="false" customHeight="false" outlineLevel="0" collapsed="false">
      <c r="B110" s="3" t="s">
        <v>407</v>
      </c>
      <c r="C110" s="27" t="n">
        <f aca="false">C106-C109</f>
        <v>118.5</v>
      </c>
      <c r="D110" s="27" t="n">
        <f aca="false">D106-D109</f>
        <v>118.5</v>
      </c>
      <c r="E110" s="27" t="n">
        <f aca="false">E106-E109</f>
        <v>118.5</v>
      </c>
      <c r="F110" s="27" t="n">
        <f aca="false">F106-F109</f>
        <v>118.5</v>
      </c>
      <c r="G110" s="27" t="n">
        <f aca="false">G106-G109</f>
        <v>118.5</v>
      </c>
      <c r="H110" s="27" t="n">
        <f aca="false">H106-H109</f>
        <v>118.5</v>
      </c>
      <c r="I110" s="27" t="n">
        <f aca="false">I106-I109</f>
        <v>118.5</v>
      </c>
      <c r="J110" s="27" t="n">
        <f aca="false">J106-J109</f>
        <v>118.5</v>
      </c>
      <c r="K110" s="27" t="n">
        <f aca="false">K106-K109</f>
        <v>118.5</v>
      </c>
      <c r="L110" s="27" t="n">
        <f aca="false">L106-L109</f>
        <v>118.5</v>
      </c>
      <c r="M110" s="27" t="n">
        <f aca="false">M106-M109</f>
        <v>118.5</v>
      </c>
      <c r="N110" s="10" t="s">
        <v>282</v>
      </c>
      <c r="O110" s="10" t="s">
        <v>408</v>
      </c>
    </row>
    <row r="111" customFormat="false" ht="15" hidden="false" customHeight="false" outlineLevel="0" collapsed="false">
      <c r="B111" s="7" t="s">
        <v>409</v>
      </c>
      <c r="D111" s="22" t="n">
        <f aca="false">D110-(C110+D87-D91)</f>
        <v>0</v>
      </c>
      <c r="E111" s="22" t="n">
        <f aca="false">E110-(D110+E87-E91)</f>
        <v>0</v>
      </c>
      <c r="F111" s="22" t="n">
        <f aca="false">F110-(E110+F87-F91)</f>
        <v>0</v>
      </c>
      <c r="G111" s="22" t="n">
        <f aca="false">G110-(F110+G87-G91)</f>
        <v>0</v>
      </c>
      <c r="H111" s="22" t="n">
        <f aca="false">H110-(G110+H87-H91)</f>
        <v>0</v>
      </c>
      <c r="I111" s="22" t="n">
        <f aca="false">I110-(H110+I87-I91)</f>
        <v>0</v>
      </c>
      <c r="J111" s="22" t="n">
        <f aca="false">J110-(I110+J87-J91)</f>
        <v>0</v>
      </c>
      <c r="K111" s="22" t="n">
        <f aca="false">K110-(J110+K87-K91)</f>
        <v>0</v>
      </c>
      <c r="L111" s="22" t="n">
        <f aca="false">L110-(K110+L87-L91)</f>
        <v>0</v>
      </c>
      <c r="M111" s="22" t="n">
        <f aca="false">M110-(L110+M87-M91)</f>
        <v>0</v>
      </c>
      <c r="N111" s="10" t="s">
        <v>282</v>
      </c>
      <c r="O111" s="10"/>
    </row>
    <row r="112" customFormat="false" ht="15" hidden="false" customHeight="false" outlineLevel="0" collapsed="false">
      <c r="B112" s="7" t="s">
        <v>410</v>
      </c>
      <c r="C112" s="22" t="n">
        <f aca="false">C106-C109-C110</f>
        <v>0</v>
      </c>
      <c r="D112" s="22" t="n">
        <f aca="false">D106-D109-D110</f>
        <v>0</v>
      </c>
      <c r="E112" s="22" t="n">
        <f aca="false">E106-E109-E110</f>
        <v>0</v>
      </c>
      <c r="F112" s="22" t="n">
        <f aca="false">F106-F109-F110</f>
        <v>0</v>
      </c>
      <c r="G112" s="22" t="n">
        <f aca="false">G106-G109-G110</f>
        <v>0</v>
      </c>
      <c r="H112" s="22" t="n">
        <f aca="false">H106-H109-H110</f>
        <v>0</v>
      </c>
      <c r="I112" s="22" t="n">
        <f aca="false">I106-I109-I110</f>
        <v>0</v>
      </c>
      <c r="J112" s="22" t="n">
        <f aca="false">J106-J109-J110</f>
        <v>0</v>
      </c>
      <c r="K112" s="22" t="n">
        <f aca="false">K106-K109-K110</f>
        <v>0</v>
      </c>
      <c r="L112" s="22" t="n">
        <f aca="false">L106-L109-L110</f>
        <v>0</v>
      </c>
      <c r="M112" s="22" t="n">
        <f aca="false">M106-M109-M110</f>
        <v>0</v>
      </c>
      <c r="N112" s="10" t="s">
        <v>282</v>
      </c>
      <c r="O112" s="10"/>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6"/>
    <col collapsed="false" customWidth="true" hidden="false" outlineLevel="0" max="3" min="3" style="0" width="17"/>
    <col collapsed="false" customWidth="true" hidden="false" outlineLevel="0" max="13" min="4" style="0" width="11.5"/>
    <col collapsed="false" customWidth="true" hidden="false" outlineLevel="0" max="14" min="14" style="0" width="17"/>
    <col collapsed="false" customWidth="true" hidden="false" outlineLevel="0" max="15" min="15" style="0" width="60"/>
  </cols>
  <sheetData>
    <row r="1" customFormat="false" ht="17.35" hidden="false" customHeight="false" outlineLevel="0" collapsed="false">
      <c r="A1" s="1" t="s">
        <v>413</v>
      </c>
    </row>
    <row r="2" customFormat="false" ht="15" hidden="false" customHeight="false" outlineLevel="0" collapsed="false">
      <c r="A2" s="10" t="s">
        <v>414</v>
      </c>
    </row>
    <row r="3" customFormat="false" ht="15" hidden="false" customHeight="false" outlineLevel="0" collapsed="false">
      <c r="A3" s="11" t="s">
        <v>243</v>
      </c>
      <c r="B3" s="11" t="s">
        <v>244</v>
      </c>
      <c r="C3" s="16" t="s">
        <v>245</v>
      </c>
      <c r="D3" s="16" t="s">
        <v>246</v>
      </c>
      <c r="E3" s="16" t="s">
        <v>247</v>
      </c>
      <c r="F3" s="16" t="s">
        <v>248</v>
      </c>
      <c r="G3" s="16" t="s">
        <v>249</v>
      </c>
      <c r="H3" s="16" t="s">
        <v>250</v>
      </c>
      <c r="I3" s="16" t="s">
        <v>251</v>
      </c>
      <c r="J3" s="16" t="s">
        <v>252</v>
      </c>
      <c r="K3" s="16" t="s">
        <v>253</v>
      </c>
      <c r="L3" s="16" t="s">
        <v>254</v>
      </c>
      <c r="M3" s="16" t="s">
        <v>255</v>
      </c>
      <c r="N3" s="11" t="s">
        <v>256</v>
      </c>
      <c r="O3" s="11" t="s">
        <v>257</v>
      </c>
    </row>
    <row r="5" customFormat="false" ht="15" hidden="false" customHeight="false" outlineLevel="0" collapsed="false">
      <c r="A5" s="12" t="s">
        <v>258</v>
      </c>
      <c r="B5" s="13"/>
      <c r="C5" s="13"/>
      <c r="D5" s="13"/>
      <c r="E5" s="13"/>
      <c r="F5" s="13"/>
      <c r="G5" s="13"/>
      <c r="H5" s="13"/>
      <c r="I5" s="13"/>
      <c r="J5" s="13"/>
      <c r="K5" s="13"/>
      <c r="L5" s="13"/>
      <c r="M5" s="13"/>
      <c r="N5" s="13"/>
      <c r="O5" s="13"/>
    </row>
    <row r="6" customFormat="false" ht="15" hidden="false" customHeight="false" outlineLevel="0" collapsed="false">
      <c r="A6" s="10" t="s">
        <v>259</v>
      </c>
      <c r="B6" s="7" t="s">
        <v>260</v>
      </c>
      <c r="C6" s="17" t="n">
        <f aca="false">C59</f>
        <v>0</v>
      </c>
      <c r="D6" s="18" t="n">
        <v>0</v>
      </c>
      <c r="E6" s="17" t="n">
        <f aca="false">D6</f>
        <v>0</v>
      </c>
      <c r="F6" s="17" t="n">
        <f aca="false">E6</f>
        <v>0</v>
      </c>
      <c r="G6" s="17" t="n">
        <f aca="false">F6</f>
        <v>0</v>
      </c>
      <c r="H6" s="17" t="n">
        <f aca="false">G6</f>
        <v>0</v>
      </c>
      <c r="I6" s="17" t="n">
        <f aca="false">H6</f>
        <v>0</v>
      </c>
      <c r="J6" s="17" t="n">
        <f aca="false">I6</f>
        <v>0</v>
      </c>
      <c r="K6" s="17" t="n">
        <f aca="false">J6</f>
        <v>0</v>
      </c>
      <c r="L6" s="17" t="n">
        <f aca="false">K6</f>
        <v>0</v>
      </c>
      <c r="M6" s="17" t="n">
        <f aca="false">L6</f>
        <v>0</v>
      </c>
      <c r="N6" s="10" t="s">
        <v>261</v>
      </c>
      <c r="O6" s="10" t="s">
        <v>262</v>
      </c>
    </row>
    <row r="7" customFormat="false" ht="15" hidden="false" customHeight="false" outlineLevel="0" collapsed="false">
      <c r="A7" s="10" t="s">
        <v>259</v>
      </c>
      <c r="B7" s="7" t="s">
        <v>263</v>
      </c>
      <c r="C7" s="17" t="n">
        <f aca="false">C60</f>
        <v>0</v>
      </c>
      <c r="D7" s="18" t="n">
        <v>0</v>
      </c>
      <c r="E7" s="17" t="n">
        <f aca="false">D7</f>
        <v>0</v>
      </c>
      <c r="F7" s="17" t="n">
        <f aca="false">E7</f>
        <v>0</v>
      </c>
      <c r="G7" s="17" t="n">
        <f aca="false">F7</f>
        <v>0</v>
      </c>
      <c r="H7" s="17" t="n">
        <f aca="false">G7</f>
        <v>0</v>
      </c>
      <c r="I7" s="17" t="n">
        <f aca="false">H7</f>
        <v>0</v>
      </c>
      <c r="J7" s="17" t="n">
        <f aca="false">I7</f>
        <v>0</v>
      </c>
      <c r="K7" s="17" t="n">
        <f aca="false">J7</f>
        <v>0</v>
      </c>
      <c r="L7" s="17" t="n">
        <f aca="false">K7</f>
        <v>0</v>
      </c>
      <c r="M7" s="17" t="n">
        <f aca="false">L7</f>
        <v>0</v>
      </c>
      <c r="N7" s="10" t="s">
        <v>261</v>
      </c>
      <c r="O7" s="10" t="s">
        <v>264</v>
      </c>
    </row>
    <row r="8" customFormat="false" ht="15" hidden="false" customHeight="false" outlineLevel="0" collapsed="false">
      <c r="A8" s="10" t="s">
        <v>259</v>
      </c>
      <c r="B8" s="7" t="s">
        <v>265</v>
      </c>
      <c r="D8" s="19" t="n">
        <v>0</v>
      </c>
      <c r="E8" s="20" t="n">
        <f aca="false">D8</f>
        <v>0</v>
      </c>
      <c r="F8" s="20" t="n">
        <f aca="false">E8</f>
        <v>0</v>
      </c>
      <c r="G8" s="20" t="n">
        <f aca="false">F8</f>
        <v>0</v>
      </c>
      <c r="H8" s="20" t="n">
        <f aca="false">G8</f>
        <v>0</v>
      </c>
      <c r="I8" s="20" t="n">
        <f aca="false">H8</f>
        <v>0</v>
      </c>
      <c r="J8" s="20" t="n">
        <f aca="false">I8</f>
        <v>0</v>
      </c>
      <c r="K8" s="20" t="n">
        <f aca="false">J8</f>
        <v>0</v>
      </c>
      <c r="L8" s="20" t="n">
        <f aca="false">K8</f>
        <v>0</v>
      </c>
      <c r="M8" s="20" t="n">
        <f aca="false">L8</f>
        <v>0</v>
      </c>
      <c r="N8" s="10" t="s">
        <v>266</v>
      </c>
      <c r="O8" s="10" t="s">
        <v>267</v>
      </c>
    </row>
    <row r="9" customFormat="false" ht="15" hidden="false" customHeight="false" outlineLevel="0" collapsed="false">
      <c r="A9" s="10" t="s">
        <v>259</v>
      </c>
      <c r="B9" s="7" t="s">
        <v>78</v>
      </c>
      <c r="D9" s="19" t="n">
        <v>0</v>
      </c>
      <c r="E9" s="20" t="n">
        <f aca="false">D9</f>
        <v>0</v>
      </c>
      <c r="F9" s="20" t="n">
        <f aca="false">E9</f>
        <v>0</v>
      </c>
      <c r="G9" s="20" t="n">
        <f aca="false">F9</f>
        <v>0</v>
      </c>
      <c r="H9" s="20" t="n">
        <f aca="false">G9</f>
        <v>0</v>
      </c>
      <c r="I9" s="20" t="n">
        <f aca="false">H9</f>
        <v>0</v>
      </c>
      <c r="J9" s="20" t="n">
        <f aca="false">I9</f>
        <v>0</v>
      </c>
      <c r="K9" s="20" t="n">
        <f aca="false">J9</f>
        <v>0</v>
      </c>
      <c r="L9" s="20" t="n">
        <f aca="false">K9</f>
        <v>0</v>
      </c>
      <c r="M9" s="20" t="n">
        <f aca="false">L9</f>
        <v>0</v>
      </c>
      <c r="N9" s="10" t="s">
        <v>266</v>
      </c>
      <c r="O9" s="10" t="s">
        <v>268</v>
      </c>
    </row>
    <row r="10" customFormat="false" ht="15" hidden="false" customHeight="false" outlineLevel="0" collapsed="false">
      <c r="A10" s="10" t="s">
        <v>259</v>
      </c>
      <c r="B10" s="7" t="s">
        <v>269</v>
      </c>
      <c r="C10" s="20" t="n">
        <f aca="false">IF(C66+C67=0,0,C68/(C66+C67))</f>
        <v>0</v>
      </c>
      <c r="D10" s="19" t="n">
        <v>0</v>
      </c>
      <c r="E10" s="20" t="n">
        <f aca="false">D10</f>
        <v>0</v>
      </c>
      <c r="F10" s="20" t="n">
        <f aca="false">E10</f>
        <v>0</v>
      </c>
      <c r="G10" s="20" t="n">
        <f aca="false">F10</f>
        <v>0</v>
      </c>
      <c r="H10" s="20" t="n">
        <f aca="false">G10</f>
        <v>0</v>
      </c>
      <c r="I10" s="20" t="n">
        <f aca="false">H10</f>
        <v>0</v>
      </c>
      <c r="J10" s="20" t="n">
        <f aca="false">I10</f>
        <v>0</v>
      </c>
      <c r="K10" s="20" t="n">
        <f aca="false">J10</f>
        <v>0</v>
      </c>
      <c r="L10" s="20" t="n">
        <f aca="false">K10</f>
        <v>0</v>
      </c>
      <c r="M10" s="20" t="n">
        <f aca="false">L10</f>
        <v>0</v>
      </c>
      <c r="N10" s="10" t="s">
        <v>270</v>
      </c>
      <c r="O10" s="10" t="s">
        <v>271</v>
      </c>
    </row>
    <row r="11" customFormat="false" ht="15" hidden="false" customHeight="false" outlineLevel="0" collapsed="false">
      <c r="A11" s="10" t="s">
        <v>259</v>
      </c>
      <c r="B11" s="7" t="s">
        <v>272</v>
      </c>
      <c r="D11" s="19" t="n">
        <v>0.02</v>
      </c>
      <c r="E11" s="20" t="n">
        <f aca="false">D11</f>
        <v>0.02</v>
      </c>
      <c r="F11" s="20" t="n">
        <f aca="false">E11</f>
        <v>0.02</v>
      </c>
      <c r="G11" s="20" t="n">
        <f aca="false">F11</f>
        <v>0.02</v>
      </c>
      <c r="H11" s="20" t="n">
        <f aca="false">G11</f>
        <v>0.02</v>
      </c>
      <c r="I11" s="20" t="n">
        <f aca="false">H11</f>
        <v>0.02</v>
      </c>
      <c r="J11" s="20" t="n">
        <f aca="false">I11</f>
        <v>0.02</v>
      </c>
      <c r="K11" s="20" t="n">
        <f aca="false">J11</f>
        <v>0.02</v>
      </c>
      <c r="L11" s="20" t="n">
        <f aca="false">K11</f>
        <v>0.02</v>
      </c>
      <c r="M11" s="20" t="n">
        <f aca="false">L11</f>
        <v>0.02</v>
      </c>
      <c r="N11" s="10" t="s">
        <v>266</v>
      </c>
      <c r="O11" s="10" t="s">
        <v>273</v>
      </c>
    </row>
    <row r="12" customFormat="false" ht="15" hidden="false" customHeight="false" outlineLevel="0" collapsed="false">
      <c r="A12" s="10" t="s">
        <v>259</v>
      </c>
      <c r="B12" s="7" t="s">
        <v>274</v>
      </c>
      <c r="C12" s="20" t="n">
        <f aca="false">IF(C70=0,0,C72/C70)</f>
        <v>0.919191919191919</v>
      </c>
      <c r="D12" s="19" t="n">
        <v>0.92</v>
      </c>
      <c r="E12" s="20" t="n">
        <f aca="false">D12</f>
        <v>0.92</v>
      </c>
      <c r="F12" s="20" t="n">
        <f aca="false">E12</f>
        <v>0.92</v>
      </c>
      <c r="G12" s="20" t="n">
        <f aca="false">F12</f>
        <v>0.92</v>
      </c>
      <c r="H12" s="20" t="n">
        <f aca="false">G12</f>
        <v>0.92</v>
      </c>
      <c r="I12" s="20" t="n">
        <f aca="false">H12</f>
        <v>0.92</v>
      </c>
      <c r="J12" s="20" t="n">
        <f aca="false">I12</f>
        <v>0.92</v>
      </c>
      <c r="K12" s="20" t="n">
        <f aca="false">J12</f>
        <v>0.92</v>
      </c>
      <c r="L12" s="20" t="n">
        <f aca="false">K12</f>
        <v>0.92</v>
      </c>
      <c r="M12" s="20" t="n">
        <f aca="false">L12</f>
        <v>0.92</v>
      </c>
      <c r="N12" s="10" t="s">
        <v>275</v>
      </c>
      <c r="O12" s="10" t="s">
        <v>276</v>
      </c>
    </row>
    <row r="13" customFormat="false" ht="15" hidden="false" customHeight="false" outlineLevel="0" collapsed="false">
      <c r="A13" s="10" t="s">
        <v>259</v>
      </c>
      <c r="B13" s="7" t="s">
        <v>277</v>
      </c>
      <c r="C13" s="20" t="n">
        <f aca="false">IF(C70=0,0,C75/C70)</f>
        <v>0</v>
      </c>
      <c r="D13" s="19" t="n">
        <v>0</v>
      </c>
      <c r="E13" s="20" t="n">
        <f aca="false">D13</f>
        <v>0</v>
      </c>
      <c r="F13" s="20" t="n">
        <f aca="false">E13</f>
        <v>0</v>
      </c>
      <c r="G13" s="20" t="n">
        <f aca="false">F13</f>
        <v>0</v>
      </c>
      <c r="H13" s="20" t="n">
        <f aca="false">G13</f>
        <v>0</v>
      </c>
      <c r="I13" s="20" t="n">
        <f aca="false">H13</f>
        <v>0</v>
      </c>
      <c r="J13" s="20" t="n">
        <f aca="false">I13</f>
        <v>0</v>
      </c>
      <c r="K13" s="20" t="n">
        <f aca="false">J13</f>
        <v>0</v>
      </c>
      <c r="L13" s="20" t="n">
        <f aca="false">K13</f>
        <v>0</v>
      </c>
      <c r="M13" s="20" t="n">
        <f aca="false">L13</f>
        <v>0</v>
      </c>
      <c r="N13" s="10" t="s">
        <v>275</v>
      </c>
      <c r="O13" s="10" t="s">
        <v>278</v>
      </c>
    </row>
    <row r="14" customFormat="false" ht="15" hidden="false" customHeight="false" outlineLevel="0" collapsed="false">
      <c r="A14" s="10" t="s">
        <v>259</v>
      </c>
      <c r="B14" s="7" t="s">
        <v>279</v>
      </c>
      <c r="D14" s="19" t="n">
        <v>0.025</v>
      </c>
      <c r="E14" s="19" t="n">
        <v>0.023</v>
      </c>
      <c r="F14" s="19" t="n">
        <v>0.021</v>
      </c>
      <c r="G14" s="19" t="n">
        <v>0.02</v>
      </c>
      <c r="H14" s="20" t="n">
        <f aca="false">G14</f>
        <v>0.02</v>
      </c>
      <c r="I14" s="20" t="n">
        <f aca="false">H14</f>
        <v>0.02</v>
      </c>
      <c r="J14" s="20" t="n">
        <f aca="false">I14</f>
        <v>0.02</v>
      </c>
      <c r="K14" s="20" t="n">
        <f aca="false">J14</f>
        <v>0.02</v>
      </c>
      <c r="L14" s="20" t="n">
        <f aca="false">K14</f>
        <v>0.02</v>
      </c>
      <c r="M14" s="20" t="n">
        <f aca="false">L14</f>
        <v>0.02</v>
      </c>
      <c r="N14" s="10" t="s">
        <v>266</v>
      </c>
      <c r="O14" s="10" t="s">
        <v>280</v>
      </c>
    </row>
    <row r="15" customFormat="false" ht="15" hidden="false" customHeight="false" outlineLevel="0" collapsed="false">
      <c r="A15" s="10" t="s">
        <v>259</v>
      </c>
      <c r="B15" s="7" t="s">
        <v>281</v>
      </c>
      <c r="D15" s="21" t="n">
        <v>0</v>
      </c>
      <c r="E15" s="22" t="n">
        <f aca="false">D15</f>
        <v>0</v>
      </c>
      <c r="F15" s="22" t="n">
        <f aca="false">E15</f>
        <v>0</v>
      </c>
      <c r="G15" s="22" t="n">
        <f aca="false">F15</f>
        <v>0</v>
      </c>
      <c r="H15" s="22" t="n">
        <f aca="false">G15</f>
        <v>0</v>
      </c>
      <c r="I15" s="22" t="n">
        <f aca="false">H15</f>
        <v>0</v>
      </c>
      <c r="J15" s="22" t="n">
        <f aca="false">I15</f>
        <v>0</v>
      </c>
      <c r="K15" s="22" t="n">
        <f aca="false">J15</f>
        <v>0</v>
      </c>
      <c r="L15" s="22" t="n">
        <f aca="false">K15</f>
        <v>0</v>
      </c>
      <c r="M15" s="22" t="n">
        <f aca="false">L15</f>
        <v>0</v>
      </c>
      <c r="N15" s="10" t="s">
        <v>282</v>
      </c>
      <c r="O15" s="10" t="s">
        <v>283</v>
      </c>
    </row>
    <row r="16" customFormat="false" ht="15" hidden="false" customHeight="false" outlineLevel="0" collapsed="false">
      <c r="A16" s="10" t="s">
        <v>259</v>
      </c>
      <c r="B16" s="7" t="s">
        <v>284</v>
      </c>
      <c r="C16" s="22" t="n">
        <f aca="false">C79</f>
        <v>-23</v>
      </c>
      <c r="D16" s="21" t="n">
        <v>0</v>
      </c>
      <c r="E16" s="22" t="n">
        <f aca="false">D16</f>
        <v>0</v>
      </c>
      <c r="F16" s="22" t="n">
        <f aca="false">E16</f>
        <v>0</v>
      </c>
      <c r="G16" s="22" t="n">
        <f aca="false">F16</f>
        <v>0</v>
      </c>
      <c r="H16" s="22" t="n">
        <f aca="false">G16</f>
        <v>0</v>
      </c>
      <c r="I16" s="22" t="n">
        <f aca="false">H16</f>
        <v>0</v>
      </c>
      <c r="J16" s="22" t="n">
        <f aca="false">I16</f>
        <v>0</v>
      </c>
      <c r="K16" s="22" t="n">
        <f aca="false">J16</f>
        <v>0</v>
      </c>
      <c r="L16" s="22" t="n">
        <f aca="false">K16</f>
        <v>0</v>
      </c>
      <c r="M16" s="22" t="n">
        <f aca="false">L16</f>
        <v>0</v>
      </c>
      <c r="N16" s="10" t="s">
        <v>282</v>
      </c>
      <c r="O16" s="10" t="s">
        <v>285</v>
      </c>
    </row>
    <row r="17" customFormat="false" ht="15" hidden="false" customHeight="false" outlineLevel="0" collapsed="false">
      <c r="A17" s="10" t="s">
        <v>259</v>
      </c>
      <c r="B17" s="7" t="s">
        <v>286</v>
      </c>
      <c r="D17" s="19" t="n">
        <v>0.007</v>
      </c>
      <c r="E17" s="20" t="n">
        <f aca="false">D17</f>
        <v>0.007</v>
      </c>
      <c r="F17" s="20" t="n">
        <f aca="false">E17</f>
        <v>0.007</v>
      </c>
      <c r="G17" s="20" t="n">
        <f aca="false">F17</f>
        <v>0.007</v>
      </c>
      <c r="H17" s="20" t="n">
        <f aca="false">G17</f>
        <v>0.007</v>
      </c>
      <c r="I17" s="20" t="n">
        <f aca="false">H17</f>
        <v>0.007</v>
      </c>
      <c r="J17" s="20" t="n">
        <f aca="false">I17</f>
        <v>0.007</v>
      </c>
      <c r="K17" s="20" t="n">
        <f aca="false">J17</f>
        <v>0.007</v>
      </c>
      <c r="L17" s="20" t="n">
        <f aca="false">K17</f>
        <v>0.007</v>
      </c>
      <c r="M17" s="20" t="n">
        <f aca="false">L17</f>
        <v>0.007</v>
      </c>
      <c r="N17" s="10" t="s">
        <v>287</v>
      </c>
      <c r="O17" s="10" t="s">
        <v>288</v>
      </c>
    </row>
    <row r="18" customFormat="false" ht="15" hidden="false" customHeight="false" outlineLevel="0" collapsed="false">
      <c r="A18" s="10" t="s">
        <v>259</v>
      </c>
      <c r="B18" s="7" t="s">
        <v>289</v>
      </c>
      <c r="D18" s="19" t="n">
        <v>0.065</v>
      </c>
      <c r="E18" s="20" t="n">
        <f aca="false">D18</f>
        <v>0.065</v>
      </c>
      <c r="F18" s="20" t="n">
        <f aca="false">E18</f>
        <v>0.065</v>
      </c>
      <c r="G18" s="20" t="n">
        <f aca="false">F18</f>
        <v>0.065</v>
      </c>
      <c r="H18" s="20" t="n">
        <f aca="false">G18</f>
        <v>0.065</v>
      </c>
      <c r="I18" s="20" t="n">
        <f aca="false">H18</f>
        <v>0.065</v>
      </c>
      <c r="J18" s="20" t="n">
        <f aca="false">I18</f>
        <v>0.065</v>
      </c>
      <c r="K18" s="20" t="n">
        <f aca="false">J18</f>
        <v>0.065</v>
      </c>
      <c r="L18" s="20" t="n">
        <f aca="false">K18</f>
        <v>0.065</v>
      </c>
      <c r="M18" s="20" t="n">
        <f aca="false">L18</f>
        <v>0.065</v>
      </c>
      <c r="N18" s="10" t="s">
        <v>290</v>
      </c>
      <c r="O18" s="10" t="s">
        <v>291</v>
      </c>
    </row>
    <row r="19" customFormat="false" ht="15" hidden="false" customHeight="false" outlineLevel="0" collapsed="false">
      <c r="A19" s="10" t="s">
        <v>259</v>
      </c>
      <c r="B19" s="7" t="s">
        <v>133</v>
      </c>
      <c r="C19" s="20" t="n">
        <f aca="false">IF(C84=0,0,C86/C84)</f>
        <v>0.259894459102902</v>
      </c>
      <c r="D19" s="19" t="n">
        <v>0.24</v>
      </c>
      <c r="E19" s="20" t="n">
        <f aca="false">D19</f>
        <v>0.24</v>
      </c>
      <c r="F19" s="20" t="n">
        <f aca="false">E19</f>
        <v>0.24</v>
      </c>
      <c r="G19" s="20" t="n">
        <f aca="false">F19</f>
        <v>0.24</v>
      </c>
      <c r="H19" s="20" t="n">
        <f aca="false">G19</f>
        <v>0.24</v>
      </c>
      <c r="I19" s="20" t="n">
        <f aca="false">H19</f>
        <v>0.24</v>
      </c>
      <c r="J19" s="20" t="n">
        <f aca="false">I19</f>
        <v>0.24</v>
      </c>
      <c r="K19" s="20" t="n">
        <f aca="false">J19</f>
        <v>0.24</v>
      </c>
      <c r="L19" s="20" t="n">
        <f aca="false">K19</f>
        <v>0.24</v>
      </c>
      <c r="M19" s="20" t="n">
        <f aca="false">L19</f>
        <v>0.24</v>
      </c>
      <c r="N19" s="10" t="s">
        <v>292</v>
      </c>
      <c r="O19" s="10" t="s">
        <v>293</v>
      </c>
    </row>
    <row r="20" customFormat="false" ht="15" hidden="false" customHeight="false" outlineLevel="0" collapsed="false">
      <c r="A20" s="10" t="s">
        <v>259</v>
      </c>
      <c r="B20" s="7" t="s">
        <v>294</v>
      </c>
      <c r="D20" s="19" t="n">
        <v>0.105</v>
      </c>
      <c r="N20" s="10" t="s">
        <v>266</v>
      </c>
      <c r="O20" s="10" t="s">
        <v>295</v>
      </c>
    </row>
    <row r="22" customFormat="false" ht="15" hidden="false" customHeight="false" outlineLevel="0" collapsed="false">
      <c r="A22" s="12" t="s">
        <v>296</v>
      </c>
      <c r="B22" s="13"/>
      <c r="C22" s="13"/>
      <c r="D22" s="13"/>
      <c r="E22" s="13"/>
      <c r="F22" s="13"/>
      <c r="G22" s="13"/>
      <c r="H22" s="13"/>
      <c r="I22" s="13"/>
      <c r="J22" s="13"/>
      <c r="K22" s="13"/>
      <c r="L22" s="13"/>
      <c r="M22" s="13"/>
      <c r="N22" s="13"/>
      <c r="O22" s="13"/>
    </row>
    <row r="23" customFormat="false" ht="15" hidden="false" customHeight="false" outlineLevel="0" collapsed="false">
      <c r="A23" s="10" t="s">
        <v>297</v>
      </c>
      <c r="B23" s="7" t="s">
        <v>298</v>
      </c>
      <c r="D23" s="18" t="n">
        <v>0</v>
      </c>
      <c r="E23" s="18" t="n">
        <v>0</v>
      </c>
      <c r="F23" s="18" t="n">
        <v>0</v>
      </c>
      <c r="G23" s="18" t="n">
        <v>0</v>
      </c>
      <c r="H23" s="18" t="n">
        <v>0</v>
      </c>
      <c r="I23" s="18" t="n">
        <v>0</v>
      </c>
      <c r="J23" s="18" t="n">
        <v>0</v>
      </c>
      <c r="K23" s="18" t="n">
        <v>0</v>
      </c>
      <c r="L23" s="18" t="n">
        <v>0</v>
      </c>
      <c r="M23" s="18" t="n">
        <v>0</v>
      </c>
      <c r="N23" s="10" t="s">
        <v>261</v>
      </c>
    </row>
    <row r="24" customFormat="false" ht="15" hidden="false" customHeight="false" outlineLevel="0" collapsed="false">
      <c r="A24" s="10" t="s">
        <v>297</v>
      </c>
      <c r="B24" s="7" t="s">
        <v>299</v>
      </c>
      <c r="D24" s="18" t="n">
        <v>0</v>
      </c>
      <c r="E24" s="18" t="n">
        <v>0</v>
      </c>
      <c r="F24" s="18" t="n">
        <v>0</v>
      </c>
      <c r="G24" s="18" t="n">
        <v>0</v>
      </c>
      <c r="H24" s="18" t="n">
        <v>0</v>
      </c>
      <c r="I24" s="18" t="n">
        <v>0</v>
      </c>
      <c r="J24" s="18" t="n">
        <v>0</v>
      </c>
      <c r="K24" s="18" t="n">
        <v>0</v>
      </c>
      <c r="L24" s="18" t="n">
        <v>0</v>
      </c>
      <c r="M24" s="18" t="n">
        <v>0</v>
      </c>
      <c r="N24" s="10" t="s">
        <v>261</v>
      </c>
    </row>
    <row r="25" customFormat="false" ht="15" hidden="false" customHeight="false" outlineLevel="0" collapsed="false">
      <c r="A25" s="10" t="s">
        <v>297</v>
      </c>
      <c r="B25" s="7" t="s">
        <v>300</v>
      </c>
      <c r="D25" s="19" t="n">
        <v>0</v>
      </c>
      <c r="E25" s="19" t="n">
        <v>0</v>
      </c>
      <c r="F25" s="19" t="n">
        <v>0</v>
      </c>
      <c r="G25" s="19" t="n">
        <v>0</v>
      </c>
      <c r="H25" s="19" t="n">
        <v>0</v>
      </c>
      <c r="I25" s="19" t="n">
        <v>0</v>
      </c>
      <c r="J25" s="19" t="n">
        <v>0</v>
      </c>
      <c r="K25" s="19" t="n">
        <v>0</v>
      </c>
      <c r="L25" s="19" t="n">
        <v>0</v>
      </c>
      <c r="M25" s="19" t="n">
        <v>0</v>
      </c>
      <c r="N25" s="10" t="s">
        <v>266</v>
      </c>
    </row>
    <row r="26" customFormat="false" ht="15" hidden="false" customHeight="false" outlineLevel="0" collapsed="false">
      <c r="A26" s="10" t="s">
        <v>297</v>
      </c>
      <c r="B26" s="7" t="s">
        <v>301</v>
      </c>
      <c r="D26" s="19" t="n">
        <v>0</v>
      </c>
      <c r="E26" s="19" t="n">
        <v>0</v>
      </c>
      <c r="F26" s="19" t="n">
        <v>0</v>
      </c>
      <c r="G26" s="19" t="n">
        <v>0</v>
      </c>
      <c r="H26" s="19" t="n">
        <v>0</v>
      </c>
      <c r="I26" s="19" t="n">
        <v>0</v>
      </c>
      <c r="J26" s="19" t="n">
        <v>0</v>
      </c>
      <c r="K26" s="19" t="n">
        <v>0</v>
      </c>
      <c r="L26" s="19" t="n">
        <v>0</v>
      </c>
      <c r="M26" s="19" t="n">
        <v>0</v>
      </c>
      <c r="N26" s="10" t="s">
        <v>266</v>
      </c>
    </row>
    <row r="27" customFormat="false" ht="15" hidden="false" customHeight="false" outlineLevel="0" collapsed="false">
      <c r="A27" s="10" t="s">
        <v>297</v>
      </c>
      <c r="B27" s="7" t="s">
        <v>302</v>
      </c>
      <c r="D27" s="19" t="n">
        <v>0</v>
      </c>
      <c r="E27" s="19" t="n">
        <v>0</v>
      </c>
      <c r="F27" s="19" t="n">
        <v>0</v>
      </c>
      <c r="G27" s="19" t="n">
        <v>0</v>
      </c>
      <c r="H27" s="19" t="n">
        <v>0</v>
      </c>
      <c r="I27" s="19" t="n">
        <v>0</v>
      </c>
      <c r="J27" s="19" t="n">
        <v>0</v>
      </c>
      <c r="K27" s="19" t="n">
        <v>0</v>
      </c>
      <c r="L27" s="19" t="n">
        <v>0</v>
      </c>
      <c r="M27" s="19" t="n">
        <v>0</v>
      </c>
      <c r="N27" s="10" t="s">
        <v>270</v>
      </c>
    </row>
    <row r="28" customFormat="false" ht="15" hidden="false" customHeight="false" outlineLevel="0" collapsed="false">
      <c r="A28" s="10" t="s">
        <v>297</v>
      </c>
      <c r="B28" s="7" t="s">
        <v>303</v>
      </c>
      <c r="D28" s="19" t="n">
        <v>0</v>
      </c>
      <c r="E28" s="19" t="n">
        <v>0</v>
      </c>
      <c r="F28" s="19" t="n">
        <v>0</v>
      </c>
      <c r="G28" s="19" t="n">
        <v>0</v>
      </c>
      <c r="H28" s="19" t="n">
        <v>0</v>
      </c>
      <c r="I28" s="19" t="n">
        <v>0</v>
      </c>
      <c r="J28" s="19" t="n">
        <v>0</v>
      </c>
      <c r="K28" s="19" t="n">
        <v>0</v>
      </c>
      <c r="L28" s="19" t="n">
        <v>0</v>
      </c>
      <c r="M28" s="19" t="n">
        <v>0</v>
      </c>
      <c r="N28" s="10" t="s">
        <v>266</v>
      </c>
    </row>
    <row r="29" customFormat="false" ht="15" hidden="false" customHeight="false" outlineLevel="0" collapsed="false">
      <c r="A29" s="10" t="s">
        <v>297</v>
      </c>
      <c r="B29" s="7" t="s">
        <v>304</v>
      </c>
      <c r="D29" s="19" t="n">
        <v>0</v>
      </c>
      <c r="E29" s="19" t="n">
        <v>0</v>
      </c>
      <c r="F29" s="19" t="n">
        <v>0</v>
      </c>
      <c r="G29" s="19" t="n">
        <v>0</v>
      </c>
      <c r="H29" s="19" t="n">
        <v>0</v>
      </c>
      <c r="I29" s="19" t="n">
        <v>0</v>
      </c>
      <c r="J29" s="19" t="n">
        <v>0</v>
      </c>
      <c r="K29" s="19" t="n">
        <v>0</v>
      </c>
      <c r="L29" s="19" t="n">
        <v>0</v>
      </c>
      <c r="M29" s="19" t="n">
        <v>0</v>
      </c>
      <c r="N29" s="10" t="s">
        <v>275</v>
      </c>
    </row>
    <row r="30" customFormat="false" ht="15" hidden="false" customHeight="false" outlineLevel="0" collapsed="false">
      <c r="A30" s="10" t="s">
        <v>297</v>
      </c>
      <c r="B30" s="7" t="s">
        <v>305</v>
      </c>
      <c r="D30" s="19" t="n">
        <v>0</v>
      </c>
      <c r="E30" s="19" t="n">
        <v>0</v>
      </c>
      <c r="F30" s="19" t="n">
        <v>0</v>
      </c>
      <c r="G30" s="19" t="n">
        <v>0</v>
      </c>
      <c r="H30" s="19" t="n">
        <v>0</v>
      </c>
      <c r="I30" s="19" t="n">
        <v>0</v>
      </c>
      <c r="J30" s="19" t="n">
        <v>0</v>
      </c>
      <c r="K30" s="19" t="n">
        <v>0</v>
      </c>
      <c r="L30" s="19" t="n">
        <v>0</v>
      </c>
      <c r="M30" s="19" t="n">
        <v>0</v>
      </c>
      <c r="N30" s="10" t="s">
        <v>275</v>
      </c>
    </row>
    <row r="31" customFormat="false" ht="15" hidden="false" customHeight="false" outlineLevel="0" collapsed="false">
      <c r="A31" s="10" t="s">
        <v>297</v>
      </c>
      <c r="B31" s="7" t="s">
        <v>306</v>
      </c>
      <c r="D31" s="19" t="n">
        <v>0</v>
      </c>
      <c r="E31" s="19" t="n">
        <v>0</v>
      </c>
      <c r="F31" s="19" t="n">
        <v>0</v>
      </c>
      <c r="G31" s="19" t="n">
        <v>0</v>
      </c>
      <c r="H31" s="19" t="n">
        <v>0</v>
      </c>
      <c r="I31" s="19" t="n">
        <v>0</v>
      </c>
      <c r="J31" s="19" t="n">
        <v>0</v>
      </c>
      <c r="K31" s="19" t="n">
        <v>0</v>
      </c>
      <c r="L31" s="19" t="n">
        <v>0</v>
      </c>
      <c r="M31" s="19" t="n">
        <v>0</v>
      </c>
      <c r="N31" s="10" t="s">
        <v>266</v>
      </c>
    </row>
    <row r="32" customFormat="false" ht="15" hidden="false" customHeight="false" outlineLevel="0" collapsed="false">
      <c r="A32" s="10" t="s">
        <v>297</v>
      </c>
      <c r="B32" s="7" t="s">
        <v>307</v>
      </c>
      <c r="D32" s="21" t="n">
        <v>0</v>
      </c>
      <c r="E32" s="21" t="n">
        <v>0</v>
      </c>
      <c r="F32" s="21" t="n">
        <v>0</v>
      </c>
      <c r="G32" s="21" t="n">
        <v>0</v>
      </c>
      <c r="H32" s="21" t="n">
        <v>0</v>
      </c>
      <c r="I32" s="21" t="n">
        <v>0</v>
      </c>
      <c r="J32" s="21" t="n">
        <v>0</v>
      </c>
      <c r="K32" s="21" t="n">
        <v>0</v>
      </c>
      <c r="L32" s="21" t="n">
        <v>0</v>
      </c>
      <c r="M32" s="21" t="n">
        <v>0</v>
      </c>
      <c r="N32" s="10" t="s">
        <v>282</v>
      </c>
    </row>
    <row r="33" customFormat="false" ht="15" hidden="false" customHeight="false" outlineLevel="0" collapsed="false">
      <c r="A33" s="10" t="s">
        <v>297</v>
      </c>
      <c r="B33" s="7" t="s">
        <v>308</v>
      </c>
      <c r="D33" s="21" t="n">
        <v>0</v>
      </c>
      <c r="E33" s="21" t="n">
        <v>0</v>
      </c>
      <c r="F33" s="21" t="n">
        <v>0</v>
      </c>
      <c r="G33" s="21" t="n">
        <v>0</v>
      </c>
      <c r="H33" s="21" t="n">
        <v>0</v>
      </c>
      <c r="I33" s="21" t="n">
        <v>0</v>
      </c>
      <c r="J33" s="21" t="n">
        <v>0</v>
      </c>
      <c r="K33" s="21" t="n">
        <v>0</v>
      </c>
      <c r="L33" s="21" t="n">
        <v>0</v>
      </c>
      <c r="M33" s="21" t="n">
        <v>0</v>
      </c>
      <c r="N33" s="10" t="s">
        <v>282</v>
      </c>
    </row>
    <row r="34" customFormat="false" ht="15" hidden="false" customHeight="false" outlineLevel="0" collapsed="false">
      <c r="A34" s="10" t="s">
        <v>297</v>
      </c>
      <c r="B34" s="7" t="s">
        <v>309</v>
      </c>
      <c r="D34" s="19" t="n">
        <v>0</v>
      </c>
      <c r="E34" s="19" t="n">
        <v>0</v>
      </c>
      <c r="F34" s="19" t="n">
        <v>0</v>
      </c>
      <c r="G34" s="19" t="n">
        <v>0</v>
      </c>
      <c r="H34" s="19" t="n">
        <v>0</v>
      </c>
      <c r="I34" s="19" t="n">
        <v>0</v>
      </c>
      <c r="J34" s="19" t="n">
        <v>0</v>
      </c>
      <c r="K34" s="19" t="n">
        <v>0</v>
      </c>
      <c r="L34" s="19" t="n">
        <v>0</v>
      </c>
      <c r="M34" s="19" t="n">
        <v>0</v>
      </c>
      <c r="N34" s="10" t="s">
        <v>287</v>
      </c>
    </row>
    <row r="35" customFormat="false" ht="15" hidden="false" customHeight="false" outlineLevel="0" collapsed="false">
      <c r="A35" s="10" t="s">
        <v>297</v>
      </c>
      <c r="B35" s="7" t="s">
        <v>310</v>
      </c>
      <c r="D35" s="19" t="n">
        <v>0</v>
      </c>
      <c r="E35" s="19" t="n">
        <v>0</v>
      </c>
      <c r="F35" s="19" t="n">
        <v>0</v>
      </c>
      <c r="G35" s="19" t="n">
        <v>0</v>
      </c>
      <c r="H35" s="19" t="n">
        <v>0</v>
      </c>
      <c r="I35" s="19" t="n">
        <v>0</v>
      </c>
      <c r="J35" s="19" t="n">
        <v>0</v>
      </c>
      <c r="K35" s="19" t="n">
        <v>0</v>
      </c>
      <c r="L35" s="19" t="n">
        <v>0</v>
      </c>
      <c r="M35" s="19" t="n">
        <v>0</v>
      </c>
      <c r="N35" s="10" t="s">
        <v>290</v>
      </c>
    </row>
    <row r="36" customFormat="false" ht="15" hidden="false" customHeight="false" outlineLevel="0" collapsed="false">
      <c r="A36" s="10" t="s">
        <v>297</v>
      </c>
      <c r="B36" s="7" t="s">
        <v>311</v>
      </c>
      <c r="D36" s="19" t="n">
        <v>0</v>
      </c>
      <c r="E36" s="19" t="n">
        <v>0</v>
      </c>
      <c r="F36" s="19" t="n">
        <v>0</v>
      </c>
      <c r="G36" s="19" t="n">
        <v>0</v>
      </c>
      <c r="H36" s="19" t="n">
        <v>0</v>
      </c>
      <c r="I36" s="19" t="n">
        <v>0</v>
      </c>
      <c r="J36" s="19" t="n">
        <v>0</v>
      </c>
      <c r="K36" s="19" t="n">
        <v>0</v>
      </c>
      <c r="L36" s="19" t="n">
        <v>0</v>
      </c>
      <c r="M36" s="19" t="n">
        <v>0</v>
      </c>
      <c r="N36" s="10" t="s">
        <v>292</v>
      </c>
    </row>
    <row r="37" customFormat="false" ht="15" hidden="false" customHeight="false" outlineLevel="0" collapsed="false">
      <c r="A37" s="10" t="s">
        <v>297</v>
      </c>
      <c r="B37" s="7" t="s">
        <v>312</v>
      </c>
      <c r="D37" s="19" t="n">
        <v>0</v>
      </c>
      <c r="N37" s="10" t="s">
        <v>266</v>
      </c>
    </row>
    <row r="39" customFormat="false" ht="15" hidden="false" customHeight="false" outlineLevel="0" collapsed="false">
      <c r="A39" s="12" t="s">
        <v>313</v>
      </c>
      <c r="B39" s="13"/>
      <c r="C39" s="13"/>
      <c r="D39" s="13"/>
      <c r="E39" s="13"/>
      <c r="F39" s="13"/>
      <c r="G39" s="13"/>
      <c r="H39" s="13"/>
      <c r="I39" s="13"/>
      <c r="J39" s="13"/>
      <c r="K39" s="13"/>
      <c r="L39" s="13"/>
      <c r="M39" s="13"/>
      <c r="N39" s="13"/>
      <c r="O39" s="13"/>
    </row>
    <row r="40" customFormat="false" ht="15" hidden="false" customHeight="false" outlineLevel="0" collapsed="false">
      <c r="A40" s="10" t="s">
        <v>314</v>
      </c>
      <c r="B40" s="7" t="s">
        <v>315</v>
      </c>
      <c r="D40" s="17" t="n">
        <f aca="false">D6+D23</f>
        <v>0</v>
      </c>
      <c r="E40" s="17" t="n">
        <f aca="false">E6+E23</f>
        <v>0</v>
      </c>
      <c r="F40" s="17" t="n">
        <f aca="false">F6+F23</f>
        <v>0</v>
      </c>
      <c r="G40" s="17" t="n">
        <f aca="false">G6+G23</f>
        <v>0</v>
      </c>
      <c r="H40" s="17" t="n">
        <f aca="false">H6+H23</f>
        <v>0</v>
      </c>
      <c r="I40" s="17" t="n">
        <f aca="false">I6+I23</f>
        <v>0</v>
      </c>
      <c r="J40" s="17" t="n">
        <f aca="false">J6+J23</f>
        <v>0</v>
      </c>
      <c r="K40" s="17" t="n">
        <f aca="false">K6+K23</f>
        <v>0</v>
      </c>
      <c r="L40" s="17" t="n">
        <f aca="false">L6+L23</f>
        <v>0</v>
      </c>
      <c r="M40" s="17" t="n">
        <f aca="false">M6+M23</f>
        <v>0</v>
      </c>
      <c r="N40" s="10" t="s">
        <v>261</v>
      </c>
    </row>
    <row r="41" customFormat="false" ht="15" hidden="false" customHeight="false" outlineLevel="0" collapsed="false">
      <c r="A41" s="10" t="s">
        <v>314</v>
      </c>
      <c r="B41" s="7" t="s">
        <v>316</v>
      </c>
      <c r="D41" s="17" t="n">
        <f aca="false">D7+D24</f>
        <v>0</v>
      </c>
      <c r="E41" s="17" t="n">
        <f aca="false">E7+E24</f>
        <v>0</v>
      </c>
      <c r="F41" s="17" t="n">
        <f aca="false">F7+F24</f>
        <v>0</v>
      </c>
      <c r="G41" s="17" t="n">
        <f aca="false">G7+G24</f>
        <v>0</v>
      </c>
      <c r="H41" s="17" t="n">
        <f aca="false">H7+H24</f>
        <v>0</v>
      </c>
      <c r="I41" s="17" t="n">
        <f aca="false">I7+I24</f>
        <v>0</v>
      </c>
      <c r="J41" s="17" t="n">
        <f aca="false">J7+J24</f>
        <v>0</v>
      </c>
      <c r="K41" s="17" t="n">
        <f aca="false">K7+K24</f>
        <v>0</v>
      </c>
      <c r="L41" s="17" t="n">
        <f aca="false">L7+L24</f>
        <v>0</v>
      </c>
      <c r="M41" s="17" t="n">
        <f aca="false">M7+M24</f>
        <v>0</v>
      </c>
      <c r="N41" s="10" t="s">
        <v>261</v>
      </c>
    </row>
    <row r="42" customFormat="false" ht="15" hidden="false" customHeight="false" outlineLevel="0" collapsed="false">
      <c r="A42" s="10" t="s">
        <v>314</v>
      </c>
      <c r="B42" s="7" t="s">
        <v>317</v>
      </c>
      <c r="D42" s="20" t="n">
        <f aca="false">D8+D25</f>
        <v>0</v>
      </c>
      <c r="E42" s="20" t="n">
        <f aca="false">E8+E25</f>
        <v>0</v>
      </c>
      <c r="F42" s="20" t="n">
        <f aca="false">F8+F25</f>
        <v>0</v>
      </c>
      <c r="G42" s="20" t="n">
        <f aca="false">G8+G25</f>
        <v>0</v>
      </c>
      <c r="H42" s="20" t="n">
        <f aca="false">H8+H25</f>
        <v>0</v>
      </c>
      <c r="I42" s="20" t="n">
        <f aca="false">I8+I25</f>
        <v>0</v>
      </c>
      <c r="J42" s="20" t="n">
        <f aca="false">J8+J25</f>
        <v>0</v>
      </c>
      <c r="K42" s="20" t="n">
        <f aca="false">K8+K25</f>
        <v>0</v>
      </c>
      <c r="L42" s="20" t="n">
        <f aca="false">L8+L25</f>
        <v>0</v>
      </c>
      <c r="M42" s="20" t="n">
        <f aca="false">M8+M25</f>
        <v>0</v>
      </c>
      <c r="N42" s="10" t="s">
        <v>266</v>
      </c>
    </row>
    <row r="43" customFormat="false" ht="15" hidden="false" customHeight="false" outlineLevel="0" collapsed="false">
      <c r="A43" s="10" t="s">
        <v>314</v>
      </c>
      <c r="B43" s="7" t="s">
        <v>318</v>
      </c>
      <c r="D43" s="20" t="n">
        <f aca="false">D9+D26</f>
        <v>0</v>
      </c>
      <c r="E43" s="20" t="n">
        <f aca="false">E9+E26</f>
        <v>0</v>
      </c>
      <c r="F43" s="20" t="n">
        <f aca="false">F9+F26</f>
        <v>0</v>
      </c>
      <c r="G43" s="20" t="n">
        <f aca="false">G9+G26</f>
        <v>0</v>
      </c>
      <c r="H43" s="20" t="n">
        <f aca="false">H9+H26</f>
        <v>0</v>
      </c>
      <c r="I43" s="20" t="n">
        <f aca="false">I9+I26</f>
        <v>0</v>
      </c>
      <c r="J43" s="20" t="n">
        <f aca="false">J9+J26</f>
        <v>0</v>
      </c>
      <c r="K43" s="20" t="n">
        <f aca="false">K9+K26</f>
        <v>0</v>
      </c>
      <c r="L43" s="20" t="n">
        <f aca="false">L9+L26</f>
        <v>0</v>
      </c>
      <c r="M43" s="20" t="n">
        <f aca="false">M9+M26</f>
        <v>0</v>
      </c>
      <c r="N43" s="10" t="s">
        <v>266</v>
      </c>
    </row>
    <row r="44" customFormat="false" ht="15" hidden="false" customHeight="false" outlineLevel="0" collapsed="false">
      <c r="A44" s="10" t="s">
        <v>314</v>
      </c>
      <c r="B44" s="7" t="s">
        <v>319</v>
      </c>
      <c r="D44" s="20" t="n">
        <f aca="false">D10+D27</f>
        <v>0</v>
      </c>
      <c r="E44" s="20" t="n">
        <f aca="false">E10+E27</f>
        <v>0</v>
      </c>
      <c r="F44" s="20" t="n">
        <f aca="false">F10+F27</f>
        <v>0</v>
      </c>
      <c r="G44" s="20" t="n">
        <f aca="false">G10+G27</f>
        <v>0</v>
      </c>
      <c r="H44" s="20" t="n">
        <f aca="false">H10+H27</f>
        <v>0</v>
      </c>
      <c r="I44" s="20" t="n">
        <f aca="false">I10+I27</f>
        <v>0</v>
      </c>
      <c r="J44" s="20" t="n">
        <f aca="false">J10+J27</f>
        <v>0</v>
      </c>
      <c r="K44" s="20" t="n">
        <f aca="false">K10+K27</f>
        <v>0</v>
      </c>
      <c r="L44" s="20" t="n">
        <f aca="false">L10+L27</f>
        <v>0</v>
      </c>
      <c r="M44" s="20" t="n">
        <f aca="false">M10+M27</f>
        <v>0</v>
      </c>
      <c r="N44" s="10" t="s">
        <v>270</v>
      </c>
    </row>
    <row r="45" customFormat="false" ht="15" hidden="false" customHeight="false" outlineLevel="0" collapsed="false">
      <c r="A45" s="10" t="s">
        <v>314</v>
      </c>
      <c r="B45" s="7" t="s">
        <v>320</v>
      </c>
      <c r="D45" s="20" t="n">
        <f aca="false">D11+D28</f>
        <v>0.02</v>
      </c>
      <c r="E45" s="20" t="n">
        <f aca="false">E11+E28</f>
        <v>0.02</v>
      </c>
      <c r="F45" s="20" t="n">
        <f aca="false">F11+F28</f>
        <v>0.02</v>
      </c>
      <c r="G45" s="20" t="n">
        <f aca="false">G11+G28</f>
        <v>0.02</v>
      </c>
      <c r="H45" s="20" t="n">
        <f aca="false">H11+H28</f>
        <v>0.02</v>
      </c>
      <c r="I45" s="20" t="n">
        <f aca="false">I11+I28</f>
        <v>0.02</v>
      </c>
      <c r="J45" s="20" t="n">
        <f aca="false">J11+J28</f>
        <v>0.02</v>
      </c>
      <c r="K45" s="20" t="n">
        <f aca="false">K11+K28</f>
        <v>0.02</v>
      </c>
      <c r="L45" s="20" t="n">
        <f aca="false">L11+L28</f>
        <v>0.02</v>
      </c>
      <c r="M45" s="20" t="n">
        <f aca="false">M11+M28</f>
        <v>0.02</v>
      </c>
      <c r="N45" s="10" t="s">
        <v>266</v>
      </c>
    </row>
    <row r="46" customFormat="false" ht="15" hidden="false" customHeight="false" outlineLevel="0" collapsed="false">
      <c r="A46" s="10" t="s">
        <v>314</v>
      </c>
      <c r="B46" s="7" t="s">
        <v>321</v>
      </c>
      <c r="D46" s="20" t="n">
        <f aca="false">D12+D29</f>
        <v>0.92</v>
      </c>
      <c r="E46" s="20" t="n">
        <f aca="false">E12+E29</f>
        <v>0.92</v>
      </c>
      <c r="F46" s="20" t="n">
        <f aca="false">F12+F29</f>
        <v>0.92</v>
      </c>
      <c r="G46" s="20" t="n">
        <f aca="false">G12+G29</f>
        <v>0.92</v>
      </c>
      <c r="H46" s="20" t="n">
        <f aca="false">H12+H29</f>
        <v>0.92</v>
      </c>
      <c r="I46" s="20" t="n">
        <f aca="false">I12+I29</f>
        <v>0.92</v>
      </c>
      <c r="J46" s="20" t="n">
        <f aca="false">J12+J29</f>
        <v>0.92</v>
      </c>
      <c r="K46" s="20" t="n">
        <f aca="false">K12+K29</f>
        <v>0.92</v>
      </c>
      <c r="L46" s="20" t="n">
        <f aca="false">L12+L29</f>
        <v>0.92</v>
      </c>
      <c r="M46" s="20" t="n">
        <f aca="false">M12+M29</f>
        <v>0.92</v>
      </c>
      <c r="N46" s="10" t="s">
        <v>275</v>
      </c>
    </row>
    <row r="47" customFormat="false" ht="15" hidden="false" customHeight="false" outlineLevel="0" collapsed="false">
      <c r="A47" s="10" t="s">
        <v>314</v>
      </c>
      <c r="B47" s="7" t="s">
        <v>322</v>
      </c>
      <c r="D47" s="20" t="n">
        <f aca="false">D13+D30</f>
        <v>0</v>
      </c>
      <c r="E47" s="20" t="n">
        <f aca="false">E13+E30</f>
        <v>0</v>
      </c>
      <c r="F47" s="20" t="n">
        <f aca="false">F13+F30</f>
        <v>0</v>
      </c>
      <c r="G47" s="20" t="n">
        <f aca="false">G13+G30</f>
        <v>0</v>
      </c>
      <c r="H47" s="20" t="n">
        <f aca="false">H13+H30</f>
        <v>0</v>
      </c>
      <c r="I47" s="20" t="n">
        <f aca="false">I13+I30</f>
        <v>0</v>
      </c>
      <c r="J47" s="20" t="n">
        <f aca="false">J13+J30</f>
        <v>0</v>
      </c>
      <c r="K47" s="20" t="n">
        <f aca="false">K13+K30</f>
        <v>0</v>
      </c>
      <c r="L47" s="20" t="n">
        <f aca="false">L13+L30</f>
        <v>0</v>
      </c>
      <c r="M47" s="20" t="n">
        <f aca="false">M13+M30</f>
        <v>0</v>
      </c>
      <c r="N47" s="10" t="s">
        <v>275</v>
      </c>
    </row>
    <row r="48" customFormat="false" ht="15" hidden="false" customHeight="false" outlineLevel="0" collapsed="false">
      <c r="A48" s="10" t="s">
        <v>314</v>
      </c>
      <c r="B48" s="7" t="s">
        <v>323</v>
      </c>
      <c r="D48" s="20" t="n">
        <f aca="false">D14+D31</f>
        <v>0.025</v>
      </c>
      <c r="E48" s="20" t="n">
        <f aca="false">E14+E31</f>
        <v>0.023</v>
      </c>
      <c r="F48" s="20" t="n">
        <f aca="false">F14+F31</f>
        <v>0.021</v>
      </c>
      <c r="G48" s="20" t="n">
        <f aca="false">G14+G31</f>
        <v>0.02</v>
      </c>
      <c r="H48" s="20" t="n">
        <f aca="false">H14+H31</f>
        <v>0.02</v>
      </c>
      <c r="I48" s="20" t="n">
        <f aca="false">I14+I31</f>
        <v>0.02</v>
      </c>
      <c r="J48" s="20" t="n">
        <f aca="false">J14+J31</f>
        <v>0.02</v>
      </c>
      <c r="K48" s="20" t="n">
        <f aca="false">K14+K31</f>
        <v>0.02</v>
      </c>
      <c r="L48" s="20" t="n">
        <f aca="false">L14+L31</f>
        <v>0.02</v>
      </c>
      <c r="M48" s="20" t="n">
        <f aca="false">M14+M31</f>
        <v>0.02</v>
      </c>
      <c r="N48" s="10" t="s">
        <v>266</v>
      </c>
    </row>
    <row r="49" customFormat="false" ht="15" hidden="false" customHeight="false" outlineLevel="0" collapsed="false">
      <c r="A49" s="10" t="s">
        <v>314</v>
      </c>
      <c r="B49" s="7" t="s">
        <v>324</v>
      </c>
      <c r="D49" s="22" t="n">
        <f aca="false">D15+D32</f>
        <v>0</v>
      </c>
      <c r="E49" s="22" t="n">
        <f aca="false">E15+E32</f>
        <v>0</v>
      </c>
      <c r="F49" s="22" t="n">
        <f aca="false">F15+F32</f>
        <v>0</v>
      </c>
      <c r="G49" s="22" t="n">
        <f aca="false">G15+G32</f>
        <v>0</v>
      </c>
      <c r="H49" s="22" t="n">
        <f aca="false">H15+H32</f>
        <v>0</v>
      </c>
      <c r="I49" s="22" t="n">
        <f aca="false">I15+I32</f>
        <v>0</v>
      </c>
      <c r="J49" s="22" t="n">
        <f aca="false">J15+J32</f>
        <v>0</v>
      </c>
      <c r="K49" s="22" t="n">
        <f aca="false">K15+K32</f>
        <v>0</v>
      </c>
      <c r="L49" s="22" t="n">
        <f aca="false">L15+L32</f>
        <v>0</v>
      </c>
      <c r="M49" s="22" t="n">
        <f aca="false">M15+M32</f>
        <v>0</v>
      </c>
      <c r="N49" s="10" t="s">
        <v>282</v>
      </c>
    </row>
    <row r="50" customFormat="false" ht="15" hidden="false" customHeight="false" outlineLevel="0" collapsed="false">
      <c r="A50" s="10" t="s">
        <v>314</v>
      </c>
      <c r="B50" s="7" t="s">
        <v>325</v>
      </c>
      <c r="D50" s="22" t="n">
        <f aca="false">D16+D33</f>
        <v>0</v>
      </c>
      <c r="E50" s="22" t="n">
        <f aca="false">E16+E33</f>
        <v>0</v>
      </c>
      <c r="F50" s="22" t="n">
        <f aca="false">F16+F33</f>
        <v>0</v>
      </c>
      <c r="G50" s="22" t="n">
        <f aca="false">G16+G33</f>
        <v>0</v>
      </c>
      <c r="H50" s="22" t="n">
        <f aca="false">H16+H33</f>
        <v>0</v>
      </c>
      <c r="I50" s="22" t="n">
        <f aca="false">I16+I33</f>
        <v>0</v>
      </c>
      <c r="J50" s="22" t="n">
        <f aca="false">J16+J33</f>
        <v>0</v>
      </c>
      <c r="K50" s="22" t="n">
        <f aca="false">K16+K33</f>
        <v>0</v>
      </c>
      <c r="L50" s="22" t="n">
        <f aca="false">L16+L33</f>
        <v>0</v>
      </c>
      <c r="M50" s="22" t="n">
        <f aca="false">M16+M33</f>
        <v>0</v>
      </c>
      <c r="N50" s="10" t="s">
        <v>282</v>
      </c>
    </row>
    <row r="51" customFormat="false" ht="15" hidden="false" customHeight="false" outlineLevel="0" collapsed="false">
      <c r="A51" s="10" t="s">
        <v>314</v>
      </c>
      <c r="B51" s="7" t="s">
        <v>326</v>
      </c>
      <c r="D51" s="20" t="n">
        <f aca="false">D17+D34</f>
        <v>0.007</v>
      </c>
      <c r="E51" s="20" t="n">
        <f aca="false">E17+E34</f>
        <v>0.007</v>
      </c>
      <c r="F51" s="20" t="n">
        <f aca="false">F17+F34</f>
        <v>0.007</v>
      </c>
      <c r="G51" s="20" t="n">
        <f aca="false">G17+G34</f>
        <v>0.007</v>
      </c>
      <c r="H51" s="20" t="n">
        <f aca="false">H17+H34</f>
        <v>0.007</v>
      </c>
      <c r="I51" s="20" t="n">
        <f aca="false">I17+I34</f>
        <v>0.007</v>
      </c>
      <c r="J51" s="20" t="n">
        <f aca="false">J17+J34</f>
        <v>0.007</v>
      </c>
      <c r="K51" s="20" t="n">
        <f aca="false">K17+K34</f>
        <v>0.007</v>
      </c>
      <c r="L51" s="20" t="n">
        <f aca="false">L17+L34</f>
        <v>0.007</v>
      </c>
      <c r="M51" s="20" t="n">
        <f aca="false">M17+M34</f>
        <v>0.007</v>
      </c>
      <c r="N51" s="10" t="s">
        <v>287</v>
      </c>
    </row>
    <row r="52" customFormat="false" ht="15" hidden="false" customHeight="false" outlineLevel="0" collapsed="false">
      <c r="A52" s="10" t="s">
        <v>314</v>
      </c>
      <c r="B52" s="7" t="s">
        <v>327</v>
      </c>
      <c r="D52" s="20" t="n">
        <f aca="false">D18+D35</f>
        <v>0.065</v>
      </c>
      <c r="E52" s="20" t="n">
        <f aca="false">E18+E35</f>
        <v>0.065</v>
      </c>
      <c r="F52" s="20" t="n">
        <f aca="false">F18+F35</f>
        <v>0.065</v>
      </c>
      <c r="G52" s="20" t="n">
        <f aca="false">G18+G35</f>
        <v>0.065</v>
      </c>
      <c r="H52" s="20" t="n">
        <f aca="false">H18+H35</f>
        <v>0.065</v>
      </c>
      <c r="I52" s="20" t="n">
        <f aca="false">I18+I35</f>
        <v>0.065</v>
      </c>
      <c r="J52" s="20" t="n">
        <f aca="false">J18+J35</f>
        <v>0.065</v>
      </c>
      <c r="K52" s="20" t="n">
        <f aca="false">K18+K35</f>
        <v>0.065</v>
      </c>
      <c r="L52" s="20" t="n">
        <f aca="false">L18+L35</f>
        <v>0.065</v>
      </c>
      <c r="M52" s="20" t="n">
        <f aca="false">M18+M35</f>
        <v>0.065</v>
      </c>
      <c r="N52" s="10" t="s">
        <v>290</v>
      </c>
    </row>
    <row r="53" customFormat="false" ht="15" hidden="false" customHeight="false" outlineLevel="0" collapsed="false">
      <c r="A53" s="10" t="s">
        <v>314</v>
      </c>
      <c r="B53" s="7" t="s">
        <v>328</v>
      </c>
      <c r="D53" s="20" t="n">
        <f aca="false">D19+D36</f>
        <v>0.24</v>
      </c>
      <c r="E53" s="20" t="n">
        <f aca="false">E19+E36</f>
        <v>0.24</v>
      </c>
      <c r="F53" s="20" t="n">
        <f aca="false">F19+F36</f>
        <v>0.24</v>
      </c>
      <c r="G53" s="20" t="n">
        <f aca="false">G19+G36</f>
        <v>0.24</v>
      </c>
      <c r="H53" s="20" t="n">
        <f aca="false">H19+H36</f>
        <v>0.24</v>
      </c>
      <c r="I53" s="20" t="n">
        <f aca="false">I19+I36</f>
        <v>0.24</v>
      </c>
      <c r="J53" s="20" t="n">
        <f aca="false">J19+J36</f>
        <v>0.24</v>
      </c>
      <c r="K53" s="20" t="n">
        <f aca="false">K19+K36</f>
        <v>0.24</v>
      </c>
      <c r="L53" s="20" t="n">
        <f aca="false">L19+L36</f>
        <v>0.24</v>
      </c>
      <c r="M53" s="20" t="n">
        <f aca="false">M19+M36</f>
        <v>0.24</v>
      </c>
      <c r="N53" s="10" t="s">
        <v>292</v>
      </c>
    </row>
    <row r="54" customFormat="false" ht="15" hidden="false" customHeight="false" outlineLevel="0" collapsed="false">
      <c r="A54" s="10" t="s">
        <v>314</v>
      </c>
      <c r="B54" s="7" t="s">
        <v>329</v>
      </c>
      <c r="D54" s="20" t="n">
        <f aca="false">D20+D37</f>
        <v>0.105</v>
      </c>
      <c r="N54" s="10" t="s">
        <v>266</v>
      </c>
    </row>
    <row r="56" customFormat="false" ht="15" hidden="false" customHeight="false" outlineLevel="0" collapsed="false">
      <c r="A56" s="12" t="s">
        <v>330</v>
      </c>
      <c r="B56" s="13"/>
      <c r="C56" s="13"/>
      <c r="D56" s="13"/>
      <c r="E56" s="13"/>
      <c r="F56" s="13"/>
      <c r="G56" s="13"/>
      <c r="H56" s="13"/>
      <c r="I56" s="13"/>
      <c r="J56" s="13"/>
      <c r="K56" s="13"/>
      <c r="L56" s="13"/>
      <c r="M56" s="13"/>
      <c r="N56" s="13"/>
      <c r="O56" s="13"/>
    </row>
    <row r="57" customFormat="false" ht="15" hidden="false" customHeight="false" outlineLevel="0" collapsed="false">
      <c r="A57" s="23" t="s">
        <v>331</v>
      </c>
      <c r="B57" s="24" t="s">
        <v>332</v>
      </c>
      <c r="C57" s="25"/>
      <c r="D57" s="25"/>
      <c r="E57" s="25"/>
      <c r="F57" s="25"/>
      <c r="G57" s="25"/>
      <c r="H57" s="25"/>
      <c r="I57" s="25"/>
      <c r="J57" s="25"/>
      <c r="K57" s="25"/>
      <c r="L57" s="25"/>
      <c r="M57" s="25"/>
      <c r="N57" s="25"/>
      <c r="O57" s="25"/>
    </row>
    <row r="58" customFormat="false" ht="15" hidden="false" customHeight="false" outlineLevel="0" collapsed="false">
      <c r="B58" s="7" t="s">
        <v>333</v>
      </c>
      <c r="C58" s="18" t="n">
        <v>0</v>
      </c>
      <c r="D58" s="17" t="n">
        <f aca="false">C61</f>
        <v>0</v>
      </c>
      <c r="E58" s="17" t="n">
        <f aca="false">D61</f>
        <v>0</v>
      </c>
      <c r="F58" s="17" t="n">
        <f aca="false">E61</f>
        <v>0</v>
      </c>
      <c r="G58" s="17" t="n">
        <f aca="false">F61</f>
        <v>0</v>
      </c>
      <c r="H58" s="17" t="n">
        <f aca="false">G61</f>
        <v>0</v>
      </c>
      <c r="I58" s="17" t="n">
        <f aca="false">H61</f>
        <v>0</v>
      </c>
      <c r="J58" s="17" t="n">
        <f aca="false">I61</f>
        <v>0</v>
      </c>
      <c r="K58" s="17" t="n">
        <f aca="false">J61</f>
        <v>0</v>
      </c>
      <c r="L58" s="17" t="n">
        <f aca="false">K61</f>
        <v>0</v>
      </c>
      <c r="M58" s="17" t="n">
        <f aca="false">L61</f>
        <v>0</v>
      </c>
      <c r="N58" s="10" t="s">
        <v>261</v>
      </c>
      <c r="O58" s="10" t="s">
        <v>334</v>
      </c>
    </row>
    <row r="59" customFormat="false" ht="15" hidden="false" customHeight="false" outlineLevel="0" collapsed="false">
      <c r="B59" s="7" t="s">
        <v>335</v>
      </c>
      <c r="C59" s="18" t="n">
        <v>0</v>
      </c>
      <c r="D59" s="17" t="n">
        <f aca="false">D40</f>
        <v>0</v>
      </c>
      <c r="E59" s="17" t="n">
        <f aca="false">E40</f>
        <v>0</v>
      </c>
      <c r="F59" s="17" t="n">
        <f aca="false">F40</f>
        <v>0</v>
      </c>
      <c r="G59" s="17" t="n">
        <f aca="false">G40</f>
        <v>0</v>
      </c>
      <c r="H59" s="17" t="n">
        <f aca="false">H40</f>
        <v>0</v>
      </c>
      <c r="I59" s="17" t="n">
        <f aca="false">I40</f>
        <v>0</v>
      </c>
      <c r="J59" s="17" t="n">
        <f aca="false">J40</f>
        <v>0</v>
      </c>
      <c r="K59" s="17" t="n">
        <f aca="false">K40</f>
        <v>0</v>
      </c>
      <c r="L59" s="17" t="n">
        <f aca="false">L40</f>
        <v>0</v>
      </c>
      <c r="M59" s="17" t="n">
        <f aca="false">M40</f>
        <v>0</v>
      </c>
      <c r="N59" s="10" t="s">
        <v>261</v>
      </c>
      <c r="O59" s="10"/>
    </row>
    <row r="60" customFormat="false" ht="15" hidden="false" customHeight="false" outlineLevel="0" collapsed="false">
      <c r="B60" s="7" t="s">
        <v>336</v>
      </c>
      <c r="C60" s="18" t="n">
        <v>0</v>
      </c>
      <c r="D60" s="17" t="n">
        <f aca="false">D41</f>
        <v>0</v>
      </c>
      <c r="E60" s="17" t="n">
        <f aca="false">E41</f>
        <v>0</v>
      </c>
      <c r="F60" s="17" t="n">
        <f aca="false">F41</f>
        <v>0</v>
      </c>
      <c r="G60" s="17" t="n">
        <f aca="false">G41</f>
        <v>0</v>
      </c>
      <c r="H60" s="17" t="n">
        <f aca="false">H41</f>
        <v>0</v>
      </c>
      <c r="I60" s="17" t="n">
        <f aca="false">I41</f>
        <v>0</v>
      </c>
      <c r="J60" s="17" t="n">
        <f aca="false">J41</f>
        <v>0</v>
      </c>
      <c r="K60" s="17" t="n">
        <f aca="false">K41</f>
        <v>0</v>
      </c>
      <c r="L60" s="17" t="n">
        <f aca="false">L41</f>
        <v>0</v>
      </c>
      <c r="M60" s="17" t="n">
        <f aca="false">M41</f>
        <v>0</v>
      </c>
      <c r="N60" s="10" t="s">
        <v>261</v>
      </c>
      <c r="O60" s="10"/>
    </row>
    <row r="61" customFormat="false" ht="15" hidden="false" customHeight="false" outlineLevel="0" collapsed="false">
      <c r="B61" s="7" t="s">
        <v>337</v>
      </c>
      <c r="C61" s="17" t="n">
        <f aca="false">C58+C59-C60</f>
        <v>0</v>
      </c>
      <c r="D61" s="17" t="n">
        <f aca="false">D58+D59-D60</f>
        <v>0</v>
      </c>
      <c r="E61" s="17" t="n">
        <f aca="false">E58+E59-E60</f>
        <v>0</v>
      </c>
      <c r="F61" s="17" t="n">
        <f aca="false">F58+F59-F60</f>
        <v>0</v>
      </c>
      <c r="G61" s="17" t="n">
        <f aca="false">G58+G59-G60</f>
        <v>0</v>
      </c>
      <c r="H61" s="17" t="n">
        <f aca="false">H58+H59-H60</f>
        <v>0</v>
      </c>
      <c r="I61" s="17" t="n">
        <f aca="false">I58+I59-I60</f>
        <v>0</v>
      </c>
      <c r="J61" s="17" t="n">
        <f aca="false">J58+J59-J60</f>
        <v>0</v>
      </c>
      <c r="K61" s="17" t="n">
        <f aca="false">K58+K59-K60</f>
        <v>0</v>
      </c>
      <c r="L61" s="17" t="n">
        <f aca="false">L58+L59-L60</f>
        <v>0</v>
      </c>
      <c r="M61" s="17" t="n">
        <f aca="false">M58+M59-M60</f>
        <v>0</v>
      </c>
      <c r="N61" s="10" t="s">
        <v>261</v>
      </c>
      <c r="O61" s="10"/>
    </row>
    <row r="62" customFormat="false" ht="15" hidden="false" customHeight="false" outlineLevel="0" collapsed="false">
      <c r="B62" s="7" t="s">
        <v>338</v>
      </c>
      <c r="C62" s="22" t="n">
        <f aca="false">AVERAGE(C58,C61)</f>
        <v>0</v>
      </c>
      <c r="D62" s="22" t="n">
        <f aca="false">AVERAGE(D58,D61)</f>
        <v>0</v>
      </c>
      <c r="E62" s="22" t="n">
        <f aca="false">AVERAGE(E58,E61)</f>
        <v>0</v>
      </c>
      <c r="F62" s="22" t="n">
        <f aca="false">AVERAGE(F58,F61)</f>
        <v>0</v>
      </c>
      <c r="G62" s="22" t="n">
        <f aca="false">AVERAGE(G58,G61)</f>
        <v>0</v>
      </c>
      <c r="H62" s="22" t="n">
        <f aca="false">AVERAGE(H58,H61)</f>
        <v>0</v>
      </c>
      <c r="I62" s="22" t="n">
        <f aca="false">AVERAGE(I58,I61)</f>
        <v>0</v>
      </c>
      <c r="J62" s="22" t="n">
        <f aca="false">AVERAGE(J58,J61)</f>
        <v>0</v>
      </c>
      <c r="K62" s="22" t="n">
        <f aca="false">AVERAGE(K58,K61)</f>
        <v>0</v>
      </c>
      <c r="L62" s="22" t="n">
        <f aca="false">AVERAGE(L58,L61)</f>
        <v>0</v>
      </c>
      <c r="M62" s="22" t="n">
        <f aca="false">AVERAGE(M58,M61)</f>
        <v>0</v>
      </c>
      <c r="N62" s="10" t="s">
        <v>261</v>
      </c>
      <c r="O62" s="10"/>
    </row>
    <row r="63" customFormat="false" ht="15" hidden="false" customHeight="false" outlineLevel="0" collapsed="false">
      <c r="B63" s="7" t="s">
        <v>339</v>
      </c>
      <c r="C63" s="26" t="n">
        <f aca="false">IF(C62=0,0,C66/C62)</f>
        <v>0</v>
      </c>
      <c r="D63" s="26" t="n">
        <f aca="false">C63*(1+D42)</f>
        <v>0</v>
      </c>
      <c r="E63" s="26" t="n">
        <f aca="false">D63*(1+E42)</f>
        <v>0</v>
      </c>
      <c r="F63" s="26" t="n">
        <f aca="false">E63*(1+F42)</f>
        <v>0</v>
      </c>
      <c r="G63" s="26" t="n">
        <f aca="false">F63*(1+G42)</f>
        <v>0</v>
      </c>
      <c r="H63" s="26" t="n">
        <f aca="false">G63*(1+H42)</f>
        <v>0</v>
      </c>
      <c r="I63" s="26" t="n">
        <f aca="false">H63*(1+I42)</f>
        <v>0</v>
      </c>
      <c r="J63" s="26" t="n">
        <f aca="false">I63*(1+J42)</f>
        <v>0</v>
      </c>
      <c r="K63" s="26" t="n">
        <f aca="false">J63*(1+K42)</f>
        <v>0</v>
      </c>
      <c r="L63" s="26" t="n">
        <f aca="false">K63*(1+L42)</f>
        <v>0</v>
      </c>
      <c r="M63" s="26" t="n">
        <f aca="false">L63*(1+M42)</f>
        <v>0</v>
      </c>
      <c r="N63" s="10" t="s">
        <v>340</v>
      </c>
      <c r="O63" s="10" t="s">
        <v>341</v>
      </c>
    </row>
    <row r="65" customFormat="false" ht="15" hidden="false" customHeight="false" outlineLevel="0" collapsed="false">
      <c r="A65" s="23" t="s">
        <v>342</v>
      </c>
      <c r="B65" s="24" t="s">
        <v>343</v>
      </c>
      <c r="C65" s="25"/>
      <c r="D65" s="25"/>
      <c r="E65" s="25"/>
      <c r="F65" s="25"/>
      <c r="G65" s="25"/>
      <c r="H65" s="25"/>
      <c r="I65" s="25"/>
      <c r="J65" s="25"/>
      <c r="K65" s="25"/>
      <c r="L65" s="25"/>
      <c r="M65" s="25"/>
      <c r="N65" s="25"/>
      <c r="O65" s="25"/>
    </row>
    <row r="66" customFormat="false" ht="15" hidden="false" customHeight="false" outlineLevel="0" collapsed="false">
      <c r="B66" s="7" t="s">
        <v>344</v>
      </c>
      <c r="C66" s="21" t="n">
        <v>0</v>
      </c>
      <c r="D66" s="22" t="n">
        <f aca="false">D62*D63</f>
        <v>0</v>
      </c>
      <c r="E66" s="22" t="n">
        <f aca="false">E62*E63</f>
        <v>0</v>
      </c>
      <c r="F66" s="22" t="n">
        <f aca="false">F62*F63</f>
        <v>0</v>
      </c>
      <c r="G66" s="22" t="n">
        <f aca="false">G62*G63</f>
        <v>0</v>
      </c>
      <c r="H66" s="22" t="n">
        <f aca="false">H62*H63</f>
        <v>0</v>
      </c>
      <c r="I66" s="22" t="n">
        <f aca="false">I62*I63</f>
        <v>0</v>
      </c>
      <c r="J66" s="22" t="n">
        <f aca="false">J62*J63</f>
        <v>0</v>
      </c>
      <c r="K66" s="22" t="n">
        <f aca="false">K62*K63</f>
        <v>0</v>
      </c>
      <c r="L66" s="22" t="n">
        <f aca="false">L62*L63</f>
        <v>0</v>
      </c>
      <c r="M66" s="22" t="n">
        <f aca="false">M62*M63</f>
        <v>0</v>
      </c>
      <c r="N66" s="10" t="s">
        <v>282</v>
      </c>
      <c r="O66" s="10"/>
    </row>
    <row r="67" customFormat="false" ht="15" hidden="false" customHeight="false" outlineLevel="0" collapsed="false">
      <c r="B67" s="7" t="s">
        <v>345</v>
      </c>
      <c r="C67" s="21" t="n">
        <v>0</v>
      </c>
      <c r="D67" s="22" t="n">
        <f aca="false">C67*(1+D43)</f>
        <v>0</v>
      </c>
      <c r="E67" s="22" t="n">
        <f aca="false">D67*(1+E43)</f>
        <v>0</v>
      </c>
      <c r="F67" s="22" t="n">
        <f aca="false">E67*(1+F43)</f>
        <v>0</v>
      </c>
      <c r="G67" s="22" t="n">
        <f aca="false">F67*(1+G43)</f>
        <v>0</v>
      </c>
      <c r="H67" s="22" t="n">
        <f aca="false">G67*(1+H43)</f>
        <v>0</v>
      </c>
      <c r="I67" s="22" t="n">
        <f aca="false">H67*(1+I43)</f>
        <v>0</v>
      </c>
      <c r="J67" s="22" t="n">
        <f aca="false">I67*(1+J43)</f>
        <v>0</v>
      </c>
      <c r="K67" s="22" t="n">
        <f aca="false">J67*(1+K43)</f>
        <v>0</v>
      </c>
      <c r="L67" s="22" t="n">
        <f aca="false">K67*(1+L43)</f>
        <v>0</v>
      </c>
      <c r="M67" s="22" t="n">
        <f aca="false">L67*(1+M43)</f>
        <v>0</v>
      </c>
      <c r="N67" s="10" t="s">
        <v>282</v>
      </c>
      <c r="O67" s="10" t="s">
        <v>346</v>
      </c>
    </row>
    <row r="68" customFormat="false" ht="15" hidden="false" customHeight="false" outlineLevel="0" collapsed="false">
      <c r="B68" s="7" t="s">
        <v>347</v>
      </c>
      <c r="C68" s="21" t="n">
        <v>0</v>
      </c>
      <c r="D68" s="22" t="n">
        <f aca="false">(D66+D67)*D44</f>
        <v>0</v>
      </c>
      <c r="E68" s="22" t="n">
        <f aca="false">(E66+E67)*E44</f>
        <v>0</v>
      </c>
      <c r="F68" s="22" t="n">
        <f aca="false">(F66+F67)*F44</f>
        <v>0</v>
      </c>
      <c r="G68" s="22" t="n">
        <f aca="false">(G66+G67)*G44</f>
        <v>0</v>
      </c>
      <c r="H68" s="22" t="n">
        <f aca="false">(H66+H67)*H44</f>
        <v>0</v>
      </c>
      <c r="I68" s="22" t="n">
        <f aca="false">(I66+I67)*I44</f>
        <v>0</v>
      </c>
      <c r="J68" s="22" t="n">
        <f aca="false">(J66+J67)*J44</f>
        <v>0</v>
      </c>
      <c r="K68" s="22" t="n">
        <f aca="false">(K66+K67)*K44</f>
        <v>0</v>
      </c>
      <c r="L68" s="22" t="n">
        <f aca="false">(L66+L67)*L44</f>
        <v>0</v>
      </c>
      <c r="M68" s="22" t="n">
        <f aca="false">(M66+M67)*M44</f>
        <v>0</v>
      </c>
      <c r="N68" s="10" t="s">
        <v>282</v>
      </c>
      <c r="O68" s="10" t="s">
        <v>348</v>
      </c>
    </row>
    <row r="69" customFormat="false" ht="15" hidden="false" customHeight="false" outlineLevel="0" collapsed="false">
      <c r="B69" s="7" t="s">
        <v>349</v>
      </c>
      <c r="C69" s="21" t="n">
        <v>39.6</v>
      </c>
      <c r="D69" s="22" t="n">
        <f aca="false">C69*(1+D45)</f>
        <v>40.392</v>
      </c>
      <c r="E69" s="22" t="n">
        <f aca="false">D69*(1+E45)</f>
        <v>41.19984</v>
      </c>
      <c r="F69" s="22" t="n">
        <f aca="false">E69*(1+F45)</f>
        <v>42.0238368</v>
      </c>
      <c r="G69" s="22" t="n">
        <f aca="false">F69*(1+G45)</f>
        <v>42.864313536</v>
      </c>
      <c r="H69" s="22" t="n">
        <f aca="false">G69*(1+H45)</f>
        <v>43.72159980672</v>
      </c>
      <c r="I69" s="22" t="n">
        <f aca="false">H69*(1+I45)</f>
        <v>44.5960318028544</v>
      </c>
      <c r="J69" s="22" t="n">
        <f aca="false">I69*(1+J45)</f>
        <v>45.4879524389115</v>
      </c>
      <c r="K69" s="22" t="n">
        <f aca="false">J69*(1+K45)</f>
        <v>46.3977114876897</v>
      </c>
      <c r="L69" s="22" t="n">
        <f aca="false">K69*(1+L45)</f>
        <v>47.3256657174435</v>
      </c>
      <c r="M69" s="22" t="n">
        <f aca="false">L69*(1+M45)</f>
        <v>48.2721790317924</v>
      </c>
      <c r="N69" s="10" t="s">
        <v>282</v>
      </c>
      <c r="O69" s="10" t="s">
        <v>350</v>
      </c>
    </row>
    <row r="70" customFormat="false" ht="15" hidden="false" customHeight="false" outlineLevel="0" collapsed="false">
      <c r="B70" s="3" t="s">
        <v>351</v>
      </c>
      <c r="C70" s="27" t="n">
        <f aca="false">SUM(C66:C69)</f>
        <v>39.6</v>
      </c>
      <c r="D70" s="27" t="n">
        <f aca="false">SUM(D66:D69)</f>
        <v>40.392</v>
      </c>
      <c r="E70" s="27" t="n">
        <f aca="false">SUM(E66:E69)</f>
        <v>41.19984</v>
      </c>
      <c r="F70" s="27" t="n">
        <f aca="false">SUM(F66:F69)</f>
        <v>42.0238368</v>
      </c>
      <c r="G70" s="27" t="n">
        <f aca="false">SUM(G66:G69)</f>
        <v>42.864313536</v>
      </c>
      <c r="H70" s="27" t="n">
        <f aca="false">SUM(H66:H69)</f>
        <v>43.72159980672</v>
      </c>
      <c r="I70" s="27" t="n">
        <f aca="false">SUM(I66:I69)</f>
        <v>44.5960318028544</v>
      </c>
      <c r="J70" s="27" t="n">
        <f aca="false">SUM(J66:J69)</f>
        <v>45.4879524389115</v>
      </c>
      <c r="K70" s="27" t="n">
        <f aca="false">SUM(K66:K69)</f>
        <v>46.3977114876897</v>
      </c>
      <c r="L70" s="27" t="n">
        <f aca="false">SUM(L66:L69)</f>
        <v>47.3256657174435</v>
      </c>
      <c r="M70" s="27" t="n">
        <f aca="false">SUM(M66:M69)</f>
        <v>48.2721790317924</v>
      </c>
      <c r="N70" s="10" t="s">
        <v>282</v>
      </c>
      <c r="O70" s="10" t="s">
        <v>352</v>
      </c>
    </row>
    <row r="71" customFormat="false" ht="15" hidden="false" customHeight="false" outlineLevel="0" collapsed="false">
      <c r="B71" s="7" t="s">
        <v>353</v>
      </c>
      <c r="D71" s="20" t="n">
        <f aca="false">IF(C70=0,0,D70/C70-1)</f>
        <v>0.02</v>
      </c>
      <c r="E71" s="20" t="n">
        <f aca="false">IF(D70=0,0,E70/D70-1)</f>
        <v>0.02</v>
      </c>
      <c r="F71" s="20" t="n">
        <f aca="false">IF(E70=0,0,F70/E70-1)</f>
        <v>0.02</v>
      </c>
      <c r="G71" s="20" t="n">
        <f aca="false">IF(F70=0,0,G70/F70-1)</f>
        <v>0.02</v>
      </c>
      <c r="H71" s="20" t="n">
        <f aca="false">IF(G70=0,0,H70/G70-1)</f>
        <v>0.02</v>
      </c>
      <c r="I71" s="20" t="n">
        <f aca="false">IF(H70=0,0,I70/H70-1)</f>
        <v>0.02</v>
      </c>
      <c r="J71" s="20" t="n">
        <f aca="false">IF(I70=0,0,J70/I70-1)</f>
        <v>0.02</v>
      </c>
      <c r="K71" s="20" t="n">
        <f aca="false">IF(J70=0,0,K70/J70-1)</f>
        <v>0.02</v>
      </c>
      <c r="L71" s="20" t="n">
        <f aca="false">IF(K70=0,0,L70/K70-1)</f>
        <v>0.02</v>
      </c>
      <c r="M71" s="20" t="n">
        <f aca="false">IF(L70=0,0,M70/L70-1)</f>
        <v>0.02</v>
      </c>
      <c r="N71" s="10" t="s">
        <v>354</v>
      </c>
      <c r="O71" s="10"/>
    </row>
    <row r="72" customFormat="false" ht="15" hidden="false" customHeight="false" outlineLevel="0" collapsed="false">
      <c r="B72" s="7" t="s">
        <v>355</v>
      </c>
      <c r="C72" s="21" t="n">
        <v>36.4</v>
      </c>
      <c r="D72" s="22" t="n">
        <f aca="false">D70*D46</f>
        <v>37.16064</v>
      </c>
      <c r="E72" s="22" t="n">
        <f aca="false">E70*E46</f>
        <v>37.9038528</v>
      </c>
      <c r="F72" s="22" t="n">
        <f aca="false">F70*F46</f>
        <v>38.661929856</v>
      </c>
      <c r="G72" s="22" t="n">
        <f aca="false">G70*G46</f>
        <v>39.43516845312</v>
      </c>
      <c r="H72" s="22" t="n">
        <f aca="false">H70*H46</f>
        <v>40.2238718221824</v>
      </c>
      <c r="I72" s="22" t="n">
        <f aca="false">I70*I46</f>
        <v>41.0283492586261</v>
      </c>
      <c r="J72" s="22" t="n">
        <f aca="false">J70*J46</f>
        <v>41.8489162437986</v>
      </c>
      <c r="K72" s="22" t="n">
        <f aca="false">K70*K46</f>
        <v>42.6858945686746</v>
      </c>
      <c r="L72" s="22" t="n">
        <f aca="false">L70*L46</f>
        <v>43.539612460048</v>
      </c>
      <c r="M72" s="22" t="n">
        <f aca="false">M70*M46</f>
        <v>44.410404709249</v>
      </c>
      <c r="N72" s="10" t="s">
        <v>282</v>
      </c>
      <c r="O72" s="10" t="s">
        <v>356</v>
      </c>
    </row>
    <row r="73" customFormat="false" ht="15" hidden="false" customHeight="false" outlineLevel="0" collapsed="false">
      <c r="B73" s="3" t="s">
        <v>357</v>
      </c>
      <c r="C73" s="27" t="n">
        <f aca="false">C70-C72</f>
        <v>3.2</v>
      </c>
      <c r="D73" s="27" t="n">
        <f aca="false">D70-D72</f>
        <v>3.23136</v>
      </c>
      <c r="E73" s="27" t="n">
        <f aca="false">E70-E72</f>
        <v>3.2959872</v>
      </c>
      <c r="F73" s="27" t="n">
        <f aca="false">F70-F72</f>
        <v>3.361906944</v>
      </c>
      <c r="G73" s="27" t="n">
        <f aca="false">G70-G72</f>
        <v>3.42914508288</v>
      </c>
      <c r="H73" s="27" t="n">
        <f aca="false">H70-H72</f>
        <v>3.4977279845376</v>
      </c>
      <c r="I73" s="27" t="n">
        <f aca="false">I70-I72</f>
        <v>3.56768254422835</v>
      </c>
      <c r="J73" s="27" t="n">
        <f aca="false">J70-J72</f>
        <v>3.63903619511292</v>
      </c>
      <c r="K73" s="27" t="n">
        <f aca="false">K70-K72</f>
        <v>3.71181691901518</v>
      </c>
      <c r="L73" s="27" t="n">
        <f aca="false">L70-L72</f>
        <v>3.78605325739548</v>
      </c>
      <c r="M73" s="27" t="n">
        <f aca="false">M70-M72</f>
        <v>3.86177432254339</v>
      </c>
      <c r="N73" s="10" t="s">
        <v>282</v>
      </c>
      <c r="O73" s="10"/>
    </row>
    <row r="74" customFormat="false" ht="15" hidden="false" customHeight="false" outlineLevel="0" collapsed="false">
      <c r="B74" s="7" t="s">
        <v>358</v>
      </c>
      <c r="C74" s="20" t="n">
        <f aca="false">IF(C70=0,0,C73/C70)</f>
        <v>0.0808080808080809</v>
      </c>
      <c r="D74" s="20" t="n">
        <f aca="false">IF(D70=0,0,D73/D70)</f>
        <v>0.0799999999999999</v>
      </c>
      <c r="E74" s="20" t="n">
        <f aca="false">IF(E70=0,0,E73/E70)</f>
        <v>0.08</v>
      </c>
      <c r="F74" s="20" t="n">
        <f aca="false">IF(F70=0,0,F73/F70)</f>
        <v>0.0799999999999999</v>
      </c>
      <c r="G74" s="20" t="n">
        <f aca="false">IF(G70=0,0,G73/G70)</f>
        <v>0.08</v>
      </c>
      <c r="H74" s="20" t="n">
        <f aca="false">IF(H70=0,0,H73/H70)</f>
        <v>0.0799999999999999</v>
      </c>
      <c r="I74" s="20" t="n">
        <f aca="false">IF(I70=0,0,I73/I70)</f>
        <v>0.0799999999999999</v>
      </c>
      <c r="J74" s="20" t="n">
        <f aca="false">IF(J70=0,0,J73/J70)</f>
        <v>0.0799999999999999</v>
      </c>
      <c r="K74" s="20" t="n">
        <f aca="false">IF(K70=0,0,K73/K70)</f>
        <v>0.08</v>
      </c>
      <c r="L74" s="20" t="n">
        <f aca="false">IF(L70=0,0,L73/L70)</f>
        <v>0.08</v>
      </c>
      <c r="M74" s="20" t="n">
        <f aca="false">IF(M70=0,0,M73/M70)</f>
        <v>0.08</v>
      </c>
      <c r="N74" s="10" t="s">
        <v>354</v>
      </c>
      <c r="O74" s="10"/>
    </row>
    <row r="75" customFormat="false" ht="15" hidden="false" customHeight="false" outlineLevel="0" collapsed="false">
      <c r="B75" s="7" t="s">
        <v>359</v>
      </c>
      <c r="C75" s="21" t="n">
        <v>0</v>
      </c>
      <c r="D75" s="22" t="n">
        <f aca="false">D70*D47</f>
        <v>0</v>
      </c>
      <c r="E75" s="22" t="n">
        <f aca="false">E70*E47</f>
        <v>0</v>
      </c>
      <c r="F75" s="22" t="n">
        <f aca="false">F70*F47</f>
        <v>0</v>
      </c>
      <c r="G75" s="22" t="n">
        <f aca="false">G70*G47</f>
        <v>0</v>
      </c>
      <c r="H75" s="22" t="n">
        <f aca="false">H70*H47</f>
        <v>0</v>
      </c>
      <c r="I75" s="22" t="n">
        <f aca="false">I70*I47</f>
        <v>0</v>
      </c>
      <c r="J75" s="22" t="n">
        <f aca="false">J70*J47</f>
        <v>0</v>
      </c>
      <c r="K75" s="22" t="n">
        <f aca="false">K70*K47</f>
        <v>0</v>
      </c>
      <c r="L75" s="22" t="n">
        <f aca="false">L70*L47</f>
        <v>0</v>
      </c>
      <c r="M75" s="22" t="n">
        <f aca="false">M70*M47</f>
        <v>0</v>
      </c>
      <c r="N75" s="10" t="s">
        <v>282</v>
      </c>
      <c r="O75" s="10"/>
    </row>
    <row r="76" customFormat="false" ht="15" hidden="false" customHeight="false" outlineLevel="0" collapsed="false">
      <c r="B76" s="7" t="s">
        <v>360</v>
      </c>
      <c r="C76" s="21" t="n">
        <v>56</v>
      </c>
      <c r="D76" s="22" t="n">
        <f aca="false">C76*(1+D48)-D49</f>
        <v>57.4</v>
      </c>
      <c r="E76" s="22" t="n">
        <f aca="false">D76*(1+E48)-E49</f>
        <v>58.7202</v>
      </c>
      <c r="F76" s="22" t="n">
        <f aca="false">E76*(1+F48)-F49</f>
        <v>59.9533242</v>
      </c>
      <c r="G76" s="22" t="n">
        <f aca="false">F76*(1+G48)-G49</f>
        <v>61.152390684</v>
      </c>
      <c r="H76" s="22" t="n">
        <f aca="false">G76*(1+H48)-H49</f>
        <v>62.37543849768</v>
      </c>
      <c r="I76" s="22" t="n">
        <f aca="false">H76*(1+I48)-I49</f>
        <v>63.6229472676336</v>
      </c>
      <c r="J76" s="22" t="n">
        <f aca="false">I76*(1+J48)-J49</f>
        <v>64.8954062129863</v>
      </c>
      <c r="K76" s="22" t="n">
        <f aca="false">J76*(1+K48)-K49</f>
        <v>66.193314337246</v>
      </c>
      <c r="L76" s="22" t="n">
        <f aca="false">K76*(1+L48)-L49</f>
        <v>67.5171806239909</v>
      </c>
      <c r="M76" s="22" t="n">
        <f aca="false">L76*(1+M48)-M49</f>
        <v>68.8675242364707</v>
      </c>
      <c r="N76" s="10" t="s">
        <v>282</v>
      </c>
      <c r="O76" s="10" t="s">
        <v>361</v>
      </c>
    </row>
    <row r="77" customFormat="false" ht="15" hidden="false" customHeight="false" outlineLevel="0" collapsed="false">
      <c r="B77" s="7" t="s">
        <v>362</v>
      </c>
      <c r="C77" s="22" t="n">
        <f aca="false">C75+C76</f>
        <v>56</v>
      </c>
      <c r="D77" s="22" t="n">
        <f aca="false">D75+D76</f>
        <v>57.4</v>
      </c>
      <c r="E77" s="22" t="n">
        <f aca="false">E75+E76</f>
        <v>58.7202</v>
      </c>
      <c r="F77" s="22" t="n">
        <f aca="false">F75+F76</f>
        <v>59.9533242</v>
      </c>
      <c r="G77" s="22" t="n">
        <f aca="false">G75+G76</f>
        <v>61.152390684</v>
      </c>
      <c r="H77" s="22" t="n">
        <f aca="false">H75+H76</f>
        <v>62.37543849768</v>
      </c>
      <c r="I77" s="22" t="n">
        <f aca="false">I75+I76</f>
        <v>63.6229472676336</v>
      </c>
      <c r="J77" s="22" t="n">
        <f aca="false">J75+J76</f>
        <v>64.8954062129863</v>
      </c>
      <c r="K77" s="22" t="n">
        <f aca="false">K75+K76</f>
        <v>66.193314337246</v>
      </c>
      <c r="L77" s="22" t="n">
        <f aca="false">L75+L76</f>
        <v>67.5171806239909</v>
      </c>
      <c r="M77" s="22" t="n">
        <f aca="false">M75+M76</f>
        <v>68.8675242364707</v>
      </c>
      <c r="N77" s="10" t="s">
        <v>282</v>
      </c>
      <c r="O77" s="10"/>
    </row>
    <row r="78" customFormat="false" ht="15" hidden="false" customHeight="false" outlineLevel="0" collapsed="false">
      <c r="B78" s="7" t="s">
        <v>363</v>
      </c>
      <c r="C78" s="20" t="n">
        <f aca="false">IF(C70=0,0,C77/C70)</f>
        <v>1.41414141414141</v>
      </c>
      <c r="D78" s="20" t="n">
        <f aca="false">IF(D70=0,0,D77/D70)</f>
        <v>1.42107347989701</v>
      </c>
      <c r="E78" s="20" t="n">
        <f aca="false">IF(E70=0,0,E77/E70)</f>
        <v>1.42525310777906</v>
      </c>
      <c r="F78" s="20" t="n">
        <f aca="false">IF(F70=0,0,F77/F70)</f>
        <v>1.42665041474747</v>
      </c>
      <c r="G78" s="20" t="n">
        <f aca="false">IF(G70=0,0,G77/G70)</f>
        <v>1.42665041474747</v>
      </c>
      <c r="H78" s="20" t="n">
        <f aca="false">IF(H70=0,0,H77/H70)</f>
        <v>1.42665041474747</v>
      </c>
      <c r="I78" s="20" t="n">
        <f aca="false">IF(I70=0,0,I77/I70)</f>
        <v>1.42665041474747</v>
      </c>
      <c r="J78" s="20" t="n">
        <f aca="false">IF(J70=0,0,J77/J70)</f>
        <v>1.42665041474747</v>
      </c>
      <c r="K78" s="20" t="n">
        <f aca="false">IF(K70=0,0,K77/K70)</f>
        <v>1.42665041474747</v>
      </c>
      <c r="L78" s="20" t="n">
        <f aca="false">IF(L70=0,0,L77/L70)</f>
        <v>1.42665041474747</v>
      </c>
      <c r="M78" s="20" t="n">
        <f aca="false">IF(M70=0,0,M77/M70)</f>
        <v>1.42665041474747</v>
      </c>
      <c r="N78" s="10" t="s">
        <v>354</v>
      </c>
      <c r="O78" s="10"/>
    </row>
    <row r="79" customFormat="false" ht="15" hidden="false" customHeight="false" outlineLevel="0" collapsed="false">
      <c r="B79" s="7" t="s">
        <v>364</v>
      </c>
      <c r="C79" s="21" t="n">
        <v>-23</v>
      </c>
      <c r="D79" s="22" t="n">
        <f aca="false">D50</f>
        <v>0</v>
      </c>
      <c r="E79" s="22" t="n">
        <f aca="false">E50</f>
        <v>0</v>
      </c>
      <c r="F79" s="22" t="n">
        <f aca="false">F50</f>
        <v>0</v>
      </c>
      <c r="G79" s="22" t="n">
        <f aca="false">G50</f>
        <v>0</v>
      </c>
      <c r="H79" s="22" t="n">
        <f aca="false">H50</f>
        <v>0</v>
      </c>
      <c r="I79" s="22" t="n">
        <f aca="false">I50</f>
        <v>0</v>
      </c>
      <c r="J79" s="22" t="n">
        <f aca="false">J50</f>
        <v>0</v>
      </c>
      <c r="K79" s="22" t="n">
        <f aca="false">K50</f>
        <v>0</v>
      </c>
      <c r="L79" s="22" t="n">
        <f aca="false">L50</f>
        <v>0</v>
      </c>
      <c r="M79" s="22" t="n">
        <f aca="false">M50</f>
        <v>0</v>
      </c>
      <c r="N79" s="10" t="s">
        <v>282</v>
      </c>
      <c r="O79" s="10" t="s">
        <v>365</v>
      </c>
    </row>
    <row r="80" customFormat="false" ht="15" hidden="false" customHeight="false" outlineLevel="0" collapsed="false">
      <c r="B80" s="3" t="s">
        <v>366</v>
      </c>
      <c r="C80" s="27" t="n">
        <f aca="false">C73-C77+C79</f>
        <v>-75.8</v>
      </c>
      <c r="D80" s="27" t="n">
        <f aca="false">D73-D77+D79</f>
        <v>-54.16864</v>
      </c>
      <c r="E80" s="27" t="n">
        <f aca="false">E73-E77+E79</f>
        <v>-55.4242128</v>
      </c>
      <c r="F80" s="27" t="n">
        <f aca="false">F73-F77+F79</f>
        <v>-56.591417256</v>
      </c>
      <c r="G80" s="27" t="n">
        <f aca="false">G73-G77+G79</f>
        <v>-57.72324560112</v>
      </c>
      <c r="H80" s="27" t="n">
        <f aca="false">H73-H77+H79</f>
        <v>-58.8777105131424</v>
      </c>
      <c r="I80" s="27" t="n">
        <f aca="false">I73-I77+I79</f>
        <v>-60.0552647234052</v>
      </c>
      <c r="J80" s="27" t="n">
        <f aca="false">J73-J77+J79</f>
        <v>-61.2563700178733</v>
      </c>
      <c r="K80" s="27" t="n">
        <f aca="false">K73-K77+K79</f>
        <v>-62.4814974182308</v>
      </c>
      <c r="L80" s="27" t="n">
        <f aca="false">L73-L77+L79</f>
        <v>-63.7311273665954</v>
      </c>
      <c r="M80" s="27" t="n">
        <f aca="false">M73-M77+M79</f>
        <v>-65.0057499139273</v>
      </c>
      <c r="N80" s="10" t="s">
        <v>282</v>
      </c>
      <c r="O80" s="10" t="s">
        <v>367</v>
      </c>
    </row>
    <row r="81" customFormat="false" ht="15" hidden="false" customHeight="false" outlineLevel="0" collapsed="false">
      <c r="B81" s="7" t="s">
        <v>368</v>
      </c>
      <c r="C81" s="20" t="n">
        <f aca="false">IF(C70=0,0,C80/C70)</f>
        <v>-1.91414141414141</v>
      </c>
      <c r="D81" s="20" t="n">
        <f aca="false">IF(D70=0,0,D80/D70)</f>
        <v>-1.34107347989701</v>
      </c>
      <c r="E81" s="20" t="n">
        <f aca="false">IF(E70=0,0,E80/E70)</f>
        <v>-1.34525310777906</v>
      </c>
      <c r="F81" s="20" t="n">
        <f aca="false">IF(F70=0,0,F80/F70)</f>
        <v>-1.34665041474747</v>
      </c>
      <c r="G81" s="20" t="n">
        <f aca="false">IF(G70=0,0,G80/G70)</f>
        <v>-1.34665041474747</v>
      </c>
      <c r="H81" s="20" t="n">
        <f aca="false">IF(H70=0,0,H80/H70)</f>
        <v>-1.34665041474747</v>
      </c>
      <c r="I81" s="20" t="n">
        <f aca="false">IF(I70=0,0,I80/I70)</f>
        <v>-1.34665041474747</v>
      </c>
      <c r="J81" s="20" t="n">
        <f aca="false">IF(J70=0,0,J80/J70)</f>
        <v>-1.34665041474747</v>
      </c>
      <c r="K81" s="20" t="n">
        <f aca="false">IF(K70=0,0,K80/K70)</f>
        <v>-1.34665041474747</v>
      </c>
      <c r="L81" s="20" t="n">
        <f aca="false">IF(L70=0,0,L80/L70)</f>
        <v>-1.34665041474747</v>
      </c>
      <c r="M81" s="20" t="n">
        <f aca="false">IF(M70=0,0,M80/M70)</f>
        <v>-1.34665041474747</v>
      </c>
      <c r="N81" s="10" t="s">
        <v>354</v>
      </c>
      <c r="O81" s="10"/>
    </row>
    <row r="82" customFormat="false" ht="15" hidden="false" customHeight="false" outlineLevel="0" collapsed="false">
      <c r="B82" s="7" t="s">
        <v>369</v>
      </c>
      <c r="C82" s="21" t="n">
        <v>0</v>
      </c>
      <c r="D82" s="22" t="n">
        <f aca="false">C104*D51</f>
        <v>0.0357</v>
      </c>
      <c r="E82" s="22" t="n">
        <f aca="false">D104*E51</f>
        <v>0.0357</v>
      </c>
      <c r="F82" s="22" t="n">
        <f aca="false">E104*F51</f>
        <v>0.0357</v>
      </c>
      <c r="G82" s="22" t="n">
        <f aca="false">F104*G51</f>
        <v>0.0357</v>
      </c>
      <c r="H82" s="22" t="n">
        <f aca="false">G104*H51</f>
        <v>0.0357</v>
      </c>
      <c r="I82" s="22" t="n">
        <f aca="false">H104*I51</f>
        <v>0.0357</v>
      </c>
      <c r="J82" s="22" t="n">
        <f aca="false">I104*J51</f>
        <v>0.0357</v>
      </c>
      <c r="K82" s="22" t="n">
        <f aca="false">J104*K51</f>
        <v>0.0357</v>
      </c>
      <c r="L82" s="22" t="n">
        <f aca="false">K104*L51</f>
        <v>0.0357</v>
      </c>
      <c r="M82" s="22" t="n">
        <f aca="false">L104*M51</f>
        <v>0.0357</v>
      </c>
      <c r="N82" s="10" t="s">
        <v>282</v>
      </c>
      <c r="O82" s="10" t="s">
        <v>370</v>
      </c>
    </row>
    <row r="83" customFormat="false" ht="15" hidden="false" customHeight="false" outlineLevel="0" collapsed="false">
      <c r="B83" s="7" t="s">
        <v>371</v>
      </c>
      <c r="C83" s="21" t="n">
        <v>0</v>
      </c>
      <c r="D83" s="22" t="n">
        <f aca="false">C107*D52</f>
        <v>0</v>
      </c>
      <c r="E83" s="22" t="n">
        <f aca="false">D107*E52</f>
        <v>0</v>
      </c>
      <c r="F83" s="22" t="n">
        <f aca="false">E107*F52</f>
        <v>0</v>
      </c>
      <c r="G83" s="22" t="n">
        <f aca="false">F107*G52</f>
        <v>0</v>
      </c>
      <c r="H83" s="22" t="n">
        <f aca="false">G107*H52</f>
        <v>0</v>
      </c>
      <c r="I83" s="22" t="n">
        <f aca="false">H107*I52</f>
        <v>0</v>
      </c>
      <c r="J83" s="22" t="n">
        <f aca="false">I107*J52</f>
        <v>0</v>
      </c>
      <c r="K83" s="22" t="n">
        <f aca="false">J107*K52</f>
        <v>0</v>
      </c>
      <c r="L83" s="22" t="n">
        <f aca="false">K107*L52</f>
        <v>0</v>
      </c>
      <c r="M83" s="22" t="n">
        <f aca="false">L107*M52</f>
        <v>0</v>
      </c>
      <c r="N83" s="10" t="s">
        <v>282</v>
      </c>
      <c r="O83" s="10"/>
    </row>
    <row r="84" customFormat="false" ht="15" hidden="false" customHeight="false" outlineLevel="0" collapsed="false">
      <c r="B84" s="3" t="s">
        <v>372</v>
      </c>
      <c r="C84" s="27" t="n">
        <f aca="false">C80+C82-C83</f>
        <v>-75.8</v>
      </c>
      <c r="D84" s="27" t="n">
        <f aca="false">D80+D82-D83</f>
        <v>-54.13294</v>
      </c>
      <c r="E84" s="27" t="n">
        <f aca="false">E80+E82-E83</f>
        <v>-55.3885128</v>
      </c>
      <c r="F84" s="27" t="n">
        <f aca="false">F80+F82-F83</f>
        <v>-56.555717256</v>
      </c>
      <c r="G84" s="27" t="n">
        <f aca="false">G80+G82-G83</f>
        <v>-57.68754560112</v>
      </c>
      <c r="H84" s="27" t="n">
        <f aca="false">H80+H82-H83</f>
        <v>-58.8420105131424</v>
      </c>
      <c r="I84" s="27" t="n">
        <f aca="false">I80+I82-I83</f>
        <v>-60.0195647234052</v>
      </c>
      <c r="J84" s="27" t="n">
        <f aca="false">J80+J82-J83</f>
        <v>-61.2206700178733</v>
      </c>
      <c r="K84" s="27" t="n">
        <f aca="false">K80+K82-K83</f>
        <v>-62.4457974182308</v>
      </c>
      <c r="L84" s="27" t="n">
        <f aca="false">L80+L82-L83</f>
        <v>-63.6954273665954</v>
      </c>
      <c r="M84" s="27" t="n">
        <f aca="false">M80+M82-M83</f>
        <v>-64.9700499139273</v>
      </c>
      <c r="N84" s="10" t="s">
        <v>282</v>
      </c>
      <c r="O84" s="10"/>
    </row>
    <row r="85" customFormat="false" ht="15" hidden="false" customHeight="false" outlineLevel="0" collapsed="false">
      <c r="B85" s="7" t="s">
        <v>373</v>
      </c>
      <c r="C85" s="20" t="n">
        <f aca="false">IF(C70=0,0,C84/C70)</f>
        <v>-1.91414141414141</v>
      </c>
      <c r="D85" s="20" t="n">
        <f aca="false">IF(D70=0,0,D84/D70)</f>
        <v>-1.34018964151317</v>
      </c>
      <c r="E85" s="20" t="n">
        <f aca="false">IF(E70=0,0,E84/E70)</f>
        <v>-1.34438659955961</v>
      </c>
      <c r="F85" s="20" t="n">
        <f aca="false">IF(F70=0,0,F84/F70)</f>
        <v>-1.34580089688526</v>
      </c>
      <c r="G85" s="20" t="n">
        <f aca="false">IF(G70=0,0,G84/G70)</f>
        <v>-1.34581755409825</v>
      </c>
      <c r="H85" s="20" t="n">
        <f aca="false">IF(H70=0,0,H84/H70)</f>
        <v>-1.34583388469921</v>
      </c>
      <c r="I85" s="20" t="n">
        <f aca="false">IF(I70=0,0,I84/I70)</f>
        <v>-1.34584989509232</v>
      </c>
      <c r="J85" s="20" t="n">
        <f aca="false">IF(J70=0,0,J84/J70)</f>
        <v>-1.34586559155614</v>
      </c>
      <c r="K85" s="20" t="n">
        <f aca="false">IF(K70=0,0,K84/K70)</f>
        <v>-1.34588098024617</v>
      </c>
      <c r="L85" s="20" t="n">
        <f aca="false">IF(L70=0,0,L84/L70)</f>
        <v>-1.34589606719718</v>
      </c>
      <c r="M85" s="20" t="n">
        <f aca="false">IF(M70=0,0,M84/M70)</f>
        <v>-1.34591085832561</v>
      </c>
      <c r="N85" s="10" t="s">
        <v>354</v>
      </c>
      <c r="O85" s="10"/>
    </row>
    <row r="86" customFormat="false" ht="15" hidden="false" customHeight="false" outlineLevel="0" collapsed="false">
      <c r="B86" s="7" t="s">
        <v>374</v>
      </c>
      <c r="C86" s="21" t="n">
        <v>-19.7</v>
      </c>
      <c r="D86" s="22" t="n">
        <f aca="false">D84*D53</f>
        <v>-12.9919056</v>
      </c>
      <c r="E86" s="22" t="n">
        <f aca="false">E84*E53</f>
        <v>-13.293243072</v>
      </c>
      <c r="F86" s="22" t="n">
        <f aca="false">F84*F53</f>
        <v>-13.57337214144</v>
      </c>
      <c r="G86" s="22" t="n">
        <f aca="false">G84*G53</f>
        <v>-13.8450109442688</v>
      </c>
      <c r="H86" s="22" t="n">
        <f aca="false">H84*H53</f>
        <v>-14.1220825231542</v>
      </c>
      <c r="I86" s="22" t="n">
        <f aca="false">I84*I53</f>
        <v>-14.4046955336173</v>
      </c>
      <c r="J86" s="22" t="n">
        <f aca="false">J84*J53</f>
        <v>-14.6929608042896</v>
      </c>
      <c r="K86" s="22" t="n">
        <f aca="false">K84*K53</f>
        <v>-14.9869913803754</v>
      </c>
      <c r="L86" s="22" t="n">
        <f aca="false">L84*L53</f>
        <v>-15.2869025679829</v>
      </c>
      <c r="M86" s="22" t="n">
        <f aca="false">M84*M53</f>
        <v>-15.5928119793426</v>
      </c>
      <c r="N86" s="10" t="s">
        <v>282</v>
      </c>
      <c r="O86" s="10" t="s">
        <v>375</v>
      </c>
    </row>
    <row r="87" customFormat="false" ht="15" hidden="false" customHeight="false" outlineLevel="0" collapsed="false">
      <c r="B87" s="3" t="s">
        <v>376</v>
      </c>
      <c r="C87" s="27" t="n">
        <f aca="false">C84-C86</f>
        <v>-56.1</v>
      </c>
      <c r="D87" s="27" t="n">
        <f aca="false">D84-D86</f>
        <v>-41.1410344</v>
      </c>
      <c r="E87" s="27" t="n">
        <f aca="false">E84-E86</f>
        <v>-42.095269728</v>
      </c>
      <c r="F87" s="27" t="n">
        <f aca="false">F84-F86</f>
        <v>-42.98234511456</v>
      </c>
      <c r="G87" s="27" t="n">
        <f aca="false">G84-G86</f>
        <v>-43.8425346568512</v>
      </c>
      <c r="H87" s="27" t="n">
        <f aca="false">H84-H86</f>
        <v>-44.7199279899882</v>
      </c>
      <c r="I87" s="27" t="n">
        <f aca="false">I84-I86</f>
        <v>-45.614869189788</v>
      </c>
      <c r="J87" s="27" t="n">
        <f aca="false">J84-J86</f>
        <v>-46.5277092135837</v>
      </c>
      <c r="K87" s="27" t="n">
        <f aca="false">K84-K86</f>
        <v>-47.4588060378554</v>
      </c>
      <c r="L87" s="27" t="n">
        <f aca="false">L84-L86</f>
        <v>-48.4085247986125</v>
      </c>
      <c r="M87" s="27" t="n">
        <f aca="false">M84-M86</f>
        <v>-49.3772379345848</v>
      </c>
      <c r="N87" s="10" t="s">
        <v>282</v>
      </c>
      <c r="O87" s="10"/>
    </row>
    <row r="88" customFormat="false" ht="15" hidden="false" customHeight="false" outlineLevel="0" collapsed="false">
      <c r="B88" s="7" t="s">
        <v>377</v>
      </c>
      <c r="C88" s="20" t="n">
        <f aca="false">IF(C70=0,0,C87/C70)</f>
        <v>-1.41666666666667</v>
      </c>
      <c r="D88" s="20" t="n">
        <f aca="false">IF(D70=0,0,D87/D70)</f>
        <v>-1.01854412755001</v>
      </c>
      <c r="E88" s="20" t="n">
        <f aca="false">IF(E70=0,0,E87/E70)</f>
        <v>-1.0217338156653</v>
      </c>
      <c r="F88" s="20" t="n">
        <f aca="false">IF(F70=0,0,F87/F70)</f>
        <v>-1.0228086816328</v>
      </c>
      <c r="G88" s="20" t="n">
        <f aca="false">IF(G70=0,0,G87/G70)</f>
        <v>-1.02282134111467</v>
      </c>
      <c r="H88" s="20" t="n">
        <f aca="false">IF(H70=0,0,H87/H70)</f>
        <v>-1.0228337523714</v>
      </c>
      <c r="I88" s="20" t="n">
        <f aca="false">IF(I70=0,0,I87/I70)</f>
        <v>-1.02284592027016</v>
      </c>
      <c r="J88" s="20" t="n">
        <f aca="false">IF(J70=0,0,J87/J70)</f>
        <v>-1.02285784958267</v>
      </c>
      <c r="K88" s="20" t="n">
        <f aca="false">IF(K70=0,0,K87/K70)</f>
        <v>-1.02286954498709</v>
      </c>
      <c r="L88" s="20" t="n">
        <f aca="false">IF(L70=0,0,L87/L70)</f>
        <v>-1.02288101106985</v>
      </c>
      <c r="M88" s="20" t="n">
        <f aca="false">IF(M70=0,0,M87/M70)</f>
        <v>-1.02289225232747</v>
      </c>
      <c r="N88" s="10" t="s">
        <v>354</v>
      </c>
      <c r="O88" s="10"/>
    </row>
    <row r="90" customFormat="false" ht="15" hidden="false" customHeight="false" outlineLevel="0" collapsed="false">
      <c r="A90" s="23" t="s">
        <v>172</v>
      </c>
      <c r="B90" s="24" t="s">
        <v>378</v>
      </c>
      <c r="C90" s="25"/>
      <c r="D90" s="25"/>
      <c r="E90" s="25"/>
      <c r="F90" s="25"/>
      <c r="G90" s="25"/>
      <c r="H90" s="25"/>
      <c r="I90" s="25"/>
      <c r="J90" s="25"/>
      <c r="K90" s="25"/>
      <c r="L90" s="25"/>
      <c r="M90" s="25"/>
      <c r="N90" s="25"/>
      <c r="O90" s="25"/>
    </row>
    <row r="91" customFormat="false" ht="15" hidden="false" customHeight="false" outlineLevel="0" collapsed="false">
      <c r="B91" s="7" t="s">
        <v>379</v>
      </c>
      <c r="C91" s="22" t="n">
        <f aca="false">C87</f>
        <v>-56.1</v>
      </c>
      <c r="D91" s="22" t="n">
        <f aca="false">D87</f>
        <v>-41.1410344</v>
      </c>
      <c r="E91" s="22" t="n">
        <f aca="false">E87</f>
        <v>-42.095269728</v>
      </c>
      <c r="F91" s="22" t="n">
        <f aca="false">F87</f>
        <v>-42.98234511456</v>
      </c>
      <c r="G91" s="22" t="n">
        <f aca="false">G87</f>
        <v>-43.8425346568512</v>
      </c>
      <c r="H91" s="22" t="n">
        <f aca="false">H87</f>
        <v>-44.7199279899882</v>
      </c>
      <c r="I91" s="22" t="n">
        <f aca="false">I87</f>
        <v>-45.614869189788</v>
      </c>
      <c r="J91" s="22" t="n">
        <f aca="false">J87</f>
        <v>-46.5277092135837</v>
      </c>
      <c r="K91" s="22" t="n">
        <f aca="false">K87</f>
        <v>-47.4588060378554</v>
      </c>
      <c r="L91" s="22" t="n">
        <f aca="false">L87</f>
        <v>-48.4085247986125</v>
      </c>
      <c r="M91" s="22" t="n">
        <f aca="false">M87</f>
        <v>-49.3772379345848</v>
      </c>
      <c r="N91" s="10" t="s">
        <v>282</v>
      </c>
      <c r="O91" s="10" t="s">
        <v>380</v>
      </c>
    </row>
    <row r="92" customFormat="false" ht="15" hidden="false" customHeight="false" outlineLevel="0" collapsed="false">
      <c r="B92" s="7" t="s">
        <v>381</v>
      </c>
      <c r="C92" s="22" t="n">
        <f aca="false">C87-C91</f>
        <v>0</v>
      </c>
      <c r="D92" s="22" t="n">
        <f aca="false">D87-D91</f>
        <v>0</v>
      </c>
      <c r="E92" s="22" t="n">
        <f aca="false">E87-E91</f>
        <v>0</v>
      </c>
      <c r="F92" s="22" t="n">
        <f aca="false">F87-F91</f>
        <v>0</v>
      </c>
      <c r="G92" s="22" t="n">
        <f aca="false">G87-G91</f>
        <v>0</v>
      </c>
      <c r="H92" s="22" t="n">
        <f aca="false">H87-H91</f>
        <v>0</v>
      </c>
      <c r="I92" s="22" t="n">
        <f aca="false">I87-I91</f>
        <v>0</v>
      </c>
      <c r="J92" s="22" t="n">
        <f aca="false">J87-J91</f>
        <v>0</v>
      </c>
      <c r="K92" s="22" t="n">
        <f aca="false">K87-K91</f>
        <v>0</v>
      </c>
      <c r="L92" s="22" t="n">
        <f aca="false">L87-L91</f>
        <v>0</v>
      </c>
      <c r="M92" s="22" t="n">
        <f aca="false">M87-M91</f>
        <v>0</v>
      </c>
      <c r="N92" s="10" t="s">
        <v>282</v>
      </c>
      <c r="O92" s="10" t="s">
        <v>382</v>
      </c>
    </row>
    <row r="93" customFormat="false" ht="15" hidden="false" customHeight="false" outlineLevel="0" collapsed="false">
      <c r="B93" s="7" t="s">
        <v>383</v>
      </c>
      <c r="D93" s="22" t="n">
        <f aca="false">D91</f>
        <v>-41.1410344</v>
      </c>
      <c r="E93" s="22" t="n">
        <f aca="false">E91</f>
        <v>-42.095269728</v>
      </c>
      <c r="F93" s="22" t="n">
        <f aca="false">F91</f>
        <v>-42.98234511456</v>
      </c>
      <c r="G93" s="22" t="n">
        <f aca="false">G91</f>
        <v>-43.8425346568512</v>
      </c>
      <c r="H93" s="22" t="n">
        <f aca="false">H91</f>
        <v>-44.7199279899882</v>
      </c>
      <c r="I93" s="22" t="n">
        <f aca="false">I91</f>
        <v>-45.614869189788</v>
      </c>
      <c r="J93" s="22" t="n">
        <f aca="false">J91</f>
        <v>-46.5277092135837</v>
      </c>
      <c r="K93" s="22" t="n">
        <f aca="false">K91</f>
        <v>-47.4588060378554</v>
      </c>
      <c r="L93" s="22" t="n">
        <f aca="false">L91</f>
        <v>-48.4085247986125</v>
      </c>
      <c r="M93" s="22" t="n">
        <f aca="false">M91</f>
        <v>-49.3772379345848</v>
      </c>
      <c r="N93" s="10" t="s">
        <v>282</v>
      </c>
      <c r="O93" s="10"/>
    </row>
    <row r="94" customFormat="false" ht="15" hidden="false" customHeight="false" outlineLevel="0" collapsed="false">
      <c r="B94" s="7" t="s">
        <v>384</v>
      </c>
      <c r="C94" s="20" t="n">
        <f aca="false">D54</f>
        <v>0.105</v>
      </c>
      <c r="N94" s="10" t="s">
        <v>354</v>
      </c>
      <c r="O94" s="10" t="s">
        <v>385</v>
      </c>
    </row>
    <row r="95" customFormat="false" ht="15" hidden="false" customHeight="false" outlineLevel="0" collapsed="false">
      <c r="B95" s="7" t="s">
        <v>386</v>
      </c>
      <c r="C95" s="22" t="n">
        <f aca="false">M110</f>
        <v>11.4</v>
      </c>
      <c r="N95" s="10" t="s">
        <v>282</v>
      </c>
      <c r="O95" s="10"/>
    </row>
    <row r="96" customFormat="false" ht="15" hidden="false" customHeight="false" outlineLevel="0" collapsed="false">
      <c r="B96" s="7" t="s">
        <v>387</v>
      </c>
      <c r="C96" s="22" t="n">
        <f aca="false">NPV(C94,D93:M93)</f>
        <v>-267.555726220438</v>
      </c>
      <c r="N96" s="10" t="s">
        <v>282</v>
      </c>
      <c r="O96" s="10" t="s">
        <v>388</v>
      </c>
    </row>
    <row r="97" customFormat="false" ht="15" hidden="false" customHeight="false" outlineLevel="0" collapsed="false">
      <c r="B97" s="7" t="s">
        <v>389</v>
      </c>
      <c r="C97" s="22" t="n">
        <f aca="false">C95/(1+C94)^10</f>
        <v>4.20031702970327</v>
      </c>
      <c r="N97" s="10" t="s">
        <v>282</v>
      </c>
      <c r="O97" s="10" t="s">
        <v>390</v>
      </c>
    </row>
    <row r="98" customFormat="false" ht="15" hidden="false" customHeight="false" outlineLevel="0" collapsed="false">
      <c r="B98" s="3" t="s">
        <v>391</v>
      </c>
      <c r="C98" s="28" t="n">
        <v>-263.36</v>
      </c>
      <c r="N98" s="10" t="s">
        <v>282</v>
      </c>
      <c r="O98" s="10" t="s">
        <v>392</v>
      </c>
    </row>
    <row r="99" customFormat="false" ht="15" hidden="false" customHeight="false" outlineLevel="0" collapsed="false">
      <c r="B99" s="3" t="s">
        <v>393</v>
      </c>
      <c r="C99" s="27" t="n">
        <f aca="false">C96+C97</f>
        <v>-263.355409190734</v>
      </c>
      <c r="N99" s="10" t="s">
        <v>282</v>
      </c>
      <c r="O99" s="10" t="s">
        <v>394</v>
      </c>
    </row>
    <row r="100" customFormat="false" ht="15" hidden="false" customHeight="false" outlineLevel="0" collapsed="false">
      <c r="B100" s="7" t="s">
        <v>395</v>
      </c>
      <c r="C100" s="20" t="n">
        <f aca="false">IF(C98=0,0,C99/C98-1)</f>
        <v>-1.74316876738745E-005</v>
      </c>
      <c r="N100" s="10" t="s">
        <v>354</v>
      </c>
      <c r="O100" s="10"/>
    </row>
    <row r="101" customFormat="false" ht="15" hidden="false" customHeight="false" outlineLevel="0" collapsed="false">
      <c r="B101" s="7" t="s">
        <v>396</v>
      </c>
      <c r="C101" s="22" t="n">
        <f aca="false">C99-C98</f>
        <v>0.00459080926577826</v>
      </c>
      <c r="N101" s="10" t="s">
        <v>282</v>
      </c>
      <c r="O101" s="10"/>
    </row>
    <row r="103" customFormat="false" ht="15" hidden="false" customHeight="false" outlineLevel="0" collapsed="false">
      <c r="A103" s="23" t="s">
        <v>149</v>
      </c>
      <c r="B103" s="24" t="s">
        <v>397</v>
      </c>
      <c r="C103" s="25"/>
      <c r="D103" s="25"/>
      <c r="E103" s="25"/>
      <c r="F103" s="25"/>
      <c r="G103" s="25"/>
      <c r="H103" s="25"/>
      <c r="I103" s="25"/>
      <c r="J103" s="25"/>
      <c r="K103" s="25"/>
      <c r="L103" s="25"/>
      <c r="M103" s="25"/>
      <c r="N103" s="25"/>
      <c r="O103" s="25"/>
    </row>
    <row r="104" customFormat="false" ht="15" hidden="false" customHeight="false" outlineLevel="0" collapsed="false">
      <c r="B104" s="7" t="s">
        <v>398</v>
      </c>
      <c r="C104" s="21" t="n">
        <v>5.1</v>
      </c>
      <c r="D104" s="22" t="n">
        <f aca="false">C104+D92</f>
        <v>5.1</v>
      </c>
      <c r="E104" s="22" t="n">
        <f aca="false">D104+E92</f>
        <v>5.1</v>
      </c>
      <c r="F104" s="22" t="n">
        <f aca="false">E104+F92</f>
        <v>5.1</v>
      </c>
      <c r="G104" s="22" t="n">
        <f aca="false">F104+G92</f>
        <v>5.1</v>
      </c>
      <c r="H104" s="22" t="n">
        <f aca="false">G104+H92</f>
        <v>5.1</v>
      </c>
      <c r="I104" s="22" t="n">
        <f aca="false">H104+I92</f>
        <v>5.1</v>
      </c>
      <c r="J104" s="22" t="n">
        <f aca="false">I104+J92</f>
        <v>5.1</v>
      </c>
      <c r="K104" s="22" t="n">
        <f aca="false">J104+K92</f>
        <v>5.1</v>
      </c>
      <c r="L104" s="22" t="n">
        <f aca="false">K104+L92</f>
        <v>5.1</v>
      </c>
      <c r="M104" s="22" t="n">
        <f aca="false">L104+M92</f>
        <v>5.1</v>
      </c>
      <c r="N104" s="10" t="s">
        <v>282</v>
      </c>
      <c r="O104" s="10" t="s">
        <v>399</v>
      </c>
    </row>
    <row r="105" customFormat="false" ht="15" hidden="false" customHeight="false" outlineLevel="0" collapsed="false">
      <c r="B105" s="7" t="s">
        <v>400</v>
      </c>
      <c r="C105" s="21" t="n">
        <v>11.2</v>
      </c>
      <c r="D105" s="22" t="n">
        <f aca="false">C105</f>
        <v>11.2</v>
      </c>
      <c r="E105" s="22" t="n">
        <f aca="false">D105</f>
        <v>11.2</v>
      </c>
      <c r="F105" s="22" t="n">
        <f aca="false">E105</f>
        <v>11.2</v>
      </c>
      <c r="G105" s="22" t="n">
        <f aca="false">F105</f>
        <v>11.2</v>
      </c>
      <c r="H105" s="22" t="n">
        <f aca="false">G105</f>
        <v>11.2</v>
      </c>
      <c r="I105" s="22" t="n">
        <f aca="false">H105</f>
        <v>11.2</v>
      </c>
      <c r="J105" s="22" t="n">
        <f aca="false">I105</f>
        <v>11.2</v>
      </c>
      <c r="K105" s="22" t="n">
        <f aca="false">J105</f>
        <v>11.2</v>
      </c>
      <c r="L105" s="22" t="n">
        <f aca="false">K105</f>
        <v>11.2</v>
      </c>
      <c r="M105" s="22" t="n">
        <f aca="false">L105</f>
        <v>11.2</v>
      </c>
      <c r="N105" s="10" t="s">
        <v>282</v>
      </c>
      <c r="O105" s="10" t="s">
        <v>401</v>
      </c>
    </row>
    <row r="106" customFormat="false" ht="15" hidden="false" customHeight="false" outlineLevel="0" collapsed="false">
      <c r="B106" s="3" t="s">
        <v>402</v>
      </c>
      <c r="C106" s="27" t="n">
        <f aca="false">C104+C105</f>
        <v>16.3</v>
      </c>
      <c r="D106" s="27" t="n">
        <f aca="false">D104+D105</f>
        <v>16.3</v>
      </c>
      <c r="E106" s="27" t="n">
        <f aca="false">E104+E105</f>
        <v>16.3</v>
      </c>
      <c r="F106" s="27" t="n">
        <f aca="false">F104+F105</f>
        <v>16.3</v>
      </c>
      <c r="G106" s="27" t="n">
        <f aca="false">G104+G105</f>
        <v>16.3</v>
      </c>
      <c r="H106" s="27" t="n">
        <f aca="false">H104+H105</f>
        <v>16.3</v>
      </c>
      <c r="I106" s="27" t="n">
        <f aca="false">I104+I105</f>
        <v>16.3</v>
      </c>
      <c r="J106" s="27" t="n">
        <f aca="false">J104+J105</f>
        <v>16.3</v>
      </c>
      <c r="K106" s="27" t="n">
        <f aca="false">K104+K105</f>
        <v>16.3</v>
      </c>
      <c r="L106" s="27" t="n">
        <f aca="false">L104+L105</f>
        <v>16.3</v>
      </c>
      <c r="M106" s="27" t="n">
        <f aca="false">M104+M105</f>
        <v>16.3</v>
      </c>
      <c r="N106" s="10" t="s">
        <v>282</v>
      </c>
      <c r="O106" s="10"/>
    </row>
    <row r="107" customFormat="false" ht="15" hidden="false" customHeight="false" outlineLevel="0" collapsed="false">
      <c r="B107" s="7" t="s">
        <v>403</v>
      </c>
      <c r="C107" s="21" t="n">
        <v>0</v>
      </c>
      <c r="D107" s="22" t="n">
        <f aca="false">C107</f>
        <v>0</v>
      </c>
      <c r="E107" s="22" t="n">
        <f aca="false">D107</f>
        <v>0</v>
      </c>
      <c r="F107" s="22" t="n">
        <f aca="false">E107</f>
        <v>0</v>
      </c>
      <c r="G107" s="22" t="n">
        <f aca="false">F107</f>
        <v>0</v>
      </c>
      <c r="H107" s="22" t="n">
        <f aca="false">G107</f>
        <v>0</v>
      </c>
      <c r="I107" s="22" t="n">
        <f aca="false">H107</f>
        <v>0</v>
      </c>
      <c r="J107" s="22" t="n">
        <f aca="false">I107</f>
        <v>0</v>
      </c>
      <c r="K107" s="22" t="n">
        <f aca="false">J107</f>
        <v>0</v>
      </c>
      <c r="L107" s="22" t="n">
        <f aca="false">K107</f>
        <v>0</v>
      </c>
      <c r="M107" s="22" t="n">
        <f aca="false">L107</f>
        <v>0</v>
      </c>
      <c r="N107" s="10" t="s">
        <v>282</v>
      </c>
      <c r="O107" s="10"/>
    </row>
    <row r="108" customFormat="false" ht="15" hidden="false" customHeight="false" outlineLevel="0" collapsed="false">
      <c r="B108" s="7" t="s">
        <v>404</v>
      </c>
      <c r="C108" s="21" t="n">
        <v>4.9</v>
      </c>
      <c r="D108" s="22" t="n">
        <f aca="false">C108</f>
        <v>4.9</v>
      </c>
      <c r="E108" s="22" t="n">
        <f aca="false">D108</f>
        <v>4.9</v>
      </c>
      <c r="F108" s="22" t="n">
        <f aca="false">E108</f>
        <v>4.9</v>
      </c>
      <c r="G108" s="22" t="n">
        <f aca="false">F108</f>
        <v>4.9</v>
      </c>
      <c r="H108" s="22" t="n">
        <f aca="false">G108</f>
        <v>4.9</v>
      </c>
      <c r="I108" s="22" t="n">
        <f aca="false">H108</f>
        <v>4.9</v>
      </c>
      <c r="J108" s="22" t="n">
        <f aca="false">I108</f>
        <v>4.9</v>
      </c>
      <c r="K108" s="22" t="n">
        <f aca="false">J108</f>
        <v>4.9</v>
      </c>
      <c r="L108" s="22" t="n">
        <f aca="false">K108</f>
        <v>4.9</v>
      </c>
      <c r="M108" s="22" t="n">
        <f aca="false">L108</f>
        <v>4.9</v>
      </c>
      <c r="N108" s="10" t="s">
        <v>282</v>
      </c>
      <c r="O108" s="10" t="s">
        <v>405</v>
      </c>
    </row>
    <row r="109" customFormat="false" ht="15" hidden="false" customHeight="false" outlineLevel="0" collapsed="false">
      <c r="B109" s="3" t="s">
        <v>406</v>
      </c>
      <c r="C109" s="27" t="n">
        <f aca="false">C107+C108</f>
        <v>4.9</v>
      </c>
      <c r="D109" s="27" t="n">
        <f aca="false">D107+D108</f>
        <v>4.9</v>
      </c>
      <c r="E109" s="27" t="n">
        <f aca="false">E107+E108</f>
        <v>4.9</v>
      </c>
      <c r="F109" s="27" t="n">
        <f aca="false">F107+F108</f>
        <v>4.9</v>
      </c>
      <c r="G109" s="27" t="n">
        <f aca="false">G107+G108</f>
        <v>4.9</v>
      </c>
      <c r="H109" s="27" t="n">
        <f aca="false">H107+H108</f>
        <v>4.9</v>
      </c>
      <c r="I109" s="27" t="n">
        <f aca="false">I107+I108</f>
        <v>4.9</v>
      </c>
      <c r="J109" s="27" t="n">
        <f aca="false">J107+J108</f>
        <v>4.9</v>
      </c>
      <c r="K109" s="27" t="n">
        <f aca="false">K107+K108</f>
        <v>4.9</v>
      </c>
      <c r="L109" s="27" t="n">
        <f aca="false">L107+L108</f>
        <v>4.9</v>
      </c>
      <c r="M109" s="27" t="n">
        <f aca="false">M107+M108</f>
        <v>4.9</v>
      </c>
      <c r="N109" s="10" t="s">
        <v>282</v>
      </c>
      <c r="O109" s="10"/>
    </row>
    <row r="110" customFormat="false" ht="15" hidden="false" customHeight="false" outlineLevel="0" collapsed="false">
      <c r="B110" s="3" t="s">
        <v>407</v>
      </c>
      <c r="C110" s="27" t="n">
        <f aca="false">C106-C109</f>
        <v>11.4</v>
      </c>
      <c r="D110" s="27" t="n">
        <f aca="false">D106-D109</f>
        <v>11.4</v>
      </c>
      <c r="E110" s="27" t="n">
        <f aca="false">E106-E109</f>
        <v>11.4</v>
      </c>
      <c r="F110" s="27" t="n">
        <f aca="false">F106-F109</f>
        <v>11.4</v>
      </c>
      <c r="G110" s="27" t="n">
        <f aca="false">G106-G109</f>
        <v>11.4</v>
      </c>
      <c r="H110" s="27" t="n">
        <f aca="false">H106-H109</f>
        <v>11.4</v>
      </c>
      <c r="I110" s="27" t="n">
        <f aca="false">I106-I109</f>
        <v>11.4</v>
      </c>
      <c r="J110" s="27" t="n">
        <f aca="false">J106-J109</f>
        <v>11.4</v>
      </c>
      <c r="K110" s="27" t="n">
        <f aca="false">K106-K109</f>
        <v>11.4</v>
      </c>
      <c r="L110" s="27" t="n">
        <f aca="false">L106-L109</f>
        <v>11.4</v>
      </c>
      <c r="M110" s="27" t="n">
        <f aca="false">M106-M109</f>
        <v>11.4</v>
      </c>
      <c r="N110" s="10" t="s">
        <v>282</v>
      </c>
      <c r="O110" s="10" t="s">
        <v>408</v>
      </c>
    </row>
    <row r="111" customFormat="false" ht="15" hidden="false" customHeight="false" outlineLevel="0" collapsed="false">
      <c r="B111" s="7" t="s">
        <v>409</v>
      </c>
      <c r="D111" s="22" t="n">
        <f aca="false">D110-(C110+D87-D91)</f>
        <v>0</v>
      </c>
      <c r="E111" s="22" t="n">
        <f aca="false">E110-(D110+E87-E91)</f>
        <v>0</v>
      </c>
      <c r="F111" s="22" t="n">
        <f aca="false">F110-(E110+F87-F91)</f>
        <v>0</v>
      </c>
      <c r="G111" s="22" t="n">
        <f aca="false">G110-(F110+G87-G91)</f>
        <v>0</v>
      </c>
      <c r="H111" s="22" t="n">
        <f aca="false">H110-(G110+H87-H91)</f>
        <v>0</v>
      </c>
      <c r="I111" s="22" t="n">
        <f aca="false">I110-(H110+I87-I91)</f>
        <v>0</v>
      </c>
      <c r="J111" s="22" t="n">
        <f aca="false">J110-(I110+J87-J91)</f>
        <v>0</v>
      </c>
      <c r="K111" s="22" t="n">
        <f aca="false">K110-(J110+K87-K91)</f>
        <v>0</v>
      </c>
      <c r="L111" s="22" t="n">
        <f aca="false">L110-(K110+L87-L91)</f>
        <v>0</v>
      </c>
      <c r="M111" s="22" t="n">
        <f aca="false">M110-(L110+M87-M91)</f>
        <v>0</v>
      </c>
      <c r="N111" s="10" t="s">
        <v>282</v>
      </c>
      <c r="O111" s="10"/>
    </row>
    <row r="112" customFormat="false" ht="15" hidden="false" customHeight="false" outlineLevel="0" collapsed="false">
      <c r="B112" s="7" t="s">
        <v>410</v>
      </c>
      <c r="C112" s="22" t="n">
        <f aca="false">C106-C109-C110</f>
        <v>0</v>
      </c>
      <c r="D112" s="22" t="n">
        <f aca="false">D106-D109-D110</f>
        <v>0</v>
      </c>
      <c r="E112" s="22" t="n">
        <f aca="false">E106-E109-E110</f>
        <v>0</v>
      </c>
      <c r="F112" s="22" t="n">
        <f aca="false">F106-F109-F110</f>
        <v>0</v>
      </c>
      <c r="G112" s="22" t="n">
        <f aca="false">G106-G109-G110</f>
        <v>0</v>
      </c>
      <c r="H112" s="22" t="n">
        <f aca="false">H106-H109-H110</f>
        <v>0</v>
      </c>
      <c r="I112" s="22" t="n">
        <f aca="false">I106-I109-I110</f>
        <v>0</v>
      </c>
      <c r="J112" s="22" t="n">
        <f aca="false">J106-J109-J110</f>
        <v>0</v>
      </c>
      <c r="K112" s="22" t="n">
        <f aca="false">K106-K109-K110</f>
        <v>0</v>
      </c>
      <c r="L112" s="22" t="n">
        <f aca="false">L106-L109-L110</f>
        <v>0</v>
      </c>
      <c r="M112" s="22" t="n">
        <f aca="false">M106-M109-M110</f>
        <v>0</v>
      </c>
      <c r="N112" s="10" t="s">
        <v>282</v>
      </c>
      <c r="O112" s="10"/>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2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6"/>
    <col collapsed="false" customWidth="true" hidden="false" outlineLevel="0" max="3" min="3" style="0" width="17"/>
    <col collapsed="false" customWidth="true" hidden="false" outlineLevel="0" max="13" min="4" style="0" width="11.5"/>
    <col collapsed="false" customWidth="true" hidden="false" outlineLevel="0" max="14" min="14" style="0" width="17"/>
    <col collapsed="false" customWidth="true" hidden="false" outlineLevel="0" max="15" min="15" style="0" width="60"/>
  </cols>
  <sheetData>
    <row r="1" customFormat="false" ht="17.35" hidden="false" customHeight="false" outlineLevel="0" collapsed="false">
      <c r="A1" s="1" t="s">
        <v>415</v>
      </c>
    </row>
    <row r="2" customFormat="false" ht="15" hidden="false" customHeight="false" outlineLevel="0" collapsed="false">
      <c r="A2" s="10" t="s">
        <v>416</v>
      </c>
    </row>
    <row r="3" customFormat="false" ht="15" hidden="false" customHeight="false" outlineLevel="0" collapsed="false">
      <c r="A3" s="11" t="s">
        <v>243</v>
      </c>
      <c r="B3" s="11" t="s">
        <v>244</v>
      </c>
      <c r="C3" s="16" t="s">
        <v>245</v>
      </c>
      <c r="D3" s="16" t="s">
        <v>246</v>
      </c>
      <c r="E3" s="16" t="s">
        <v>247</v>
      </c>
      <c r="F3" s="16" t="s">
        <v>248</v>
      </c>
      <c r="G3" s="16" t="s">
        <v>249</v>
      </c>
      <c r="H3" s="16" t="s">
        <v>250</v>
      </c>
      <c r="I3" s="16" t="s">
        <v>251</v>
      </c>
      <c r="J3" s="16" t="s">
        <v>252</v>
      </c>
      <c r="K3" s="16" t="s">
        <v>253</v>
      </c>
      <c r="L3" s="16" t="s">
        <v>254</v>
      </c>
      <c r="M3" s="16" t="s">
        <v>255</v>
      </c>
      <c r="N3" s="11" t="s">
        <v>256</v>
      </c>
      <c r="O3" s="11" t="s">
        <v>257</v>
      </c>
    </row>
    <row r="5" customFormat="false" ht="15" hidden="false" customHeight="false" outlineLevel="0" collapsed="false">
      <c r="A5" s="12" t="s">
        <v>417</v>
      </c>
      <c r="B5" s="13"/>
      <c r="C5" s="13"/>
      <c r="D5" s="13"/>
      <c r="E5" s="13"/>
      <c r="F5" s="13"/>
      <c r="G5" s="13"/>
      <c r="H5" s="13"/>
      <c r="I5" s="13"/>
      <c r="J5" s="13"/>
      <c r="K5" s="13"/>
      <c r="L5" s="13"/>
      <c r="M5" s="13"/>
      <c r="N5" s="13"/>
      <c r="O5" s="13"/>
    </row>
    <row r="6" customFormat="false" ht="15" hidden="false" customHeight="false" outlineLevel="0" collapsed="false">
      <c r="B6" s="7" t="s">
        <v>260</v>
      </c>
      <c r="C6" s="29"/>
      <c r="D6" s="29"/>
      <c r="E6" s="29"/>
      <c r="F6" s="29"/>
      <c r="G6" s="29"/>
      <c r="H6" s="29"/>
      <c r="I6" s="29"/>
      <c r="J6" s="29"/>
      <c r="K6" s="29"/>
      <c r="L6" s="29"/>
      <c r="M6" s="29"/>
      <c r="N6" s="10" t="s">
        <v>261</v>
      </c>
      <c r="O6" s="10" t="s">
        <v>418</v>
      </c>
    </row>
    <row r="7" customFormat="false" ht="15" hidden="false" customHeight="false" outlineLevel="0" collapsed="false">
      <c r="B7" s="7" t="s">
        <v>263</v>
      </c>
      <c r="C7" s="29"/>
      <c r="D7" s="29"/>
      <c r="E7" s="29"/>
      <c r="F7" s="29"/>
      <c r="G7" s="29"/>
      <c r="H7" s="29"/>
      <c r="I7" s="29"/>
      <c r="J7" s="29"/>
      <c r="K7" s="29"/>
      <c r="L7" s="29"/>
      <c r="M7" s="29"/>
      <c r="N7" s="10" t="s">
        <v>261</v>
      </c>
      <c r="O7" s="10" t="s">
        <v>418</v>
      </c>
    </row>
    <row r="8" customFormat="false" ht="15" hidden="false" customHeight="false" outlineLevel="0" collapsed="false">
      <c r="B8" s="7" t="s">
        <v>265</v>
      </c>
      <c r="C8" s="29"/>
      <c r="D8" s="29"/>
      <c r="E8" s="29"/>
      <c r="F8" s="29"/>
      <c r="G8" s="29"/>
      <c r="H8" s="29"/>
      <c r="I8" s="29"/>
      <c r="J8" s="29"/>
      <c r="K8" s="29"/>
      <c r="L8" s="29"/>
      <c r="M8" s="29"/>
      <c r="N8" s="10" t="s">
        <v>266</v>
      </c>
      <c r="O8" s="10" t="s">
        <v>418</v>
      </c>
    </row>
    <row r="9" customFormat="false" ht="15" hidden="false" customHeight="false" outlineLevel="0" collapsed="false">
      <c r="B9" s="7" t="s">
        <v>78</v>
      </c>
      <c r="C9" s="29"/>
      <c r="D9" s="29"/>
      <c r="E9" s="29"/>
      <c r="F9" s="29"/>
      <c r="G9" s="29"/>
      <c r="H9" s="29"/>
      <c r="I9" s="29"/>
      <c r="J9" s="29"/>
      <c r="K9" s="29"/>
      <c r="L9" s="29"/>
      <c r="M9" s="29"/>
      <c r="N9" s="10" t="s">
        <v>266</v>
      </c>
      <c r="O9" s="10" t="s">
        <v>418</v>
      </c>
    </row>
    <row r="10" customFormat="false" ht="15" hidden="false" customHeight="false" outlineLevel="0" collapsed="false">
      <c r="B10" s="7" t="s">
        <v>269</v>
      </c>
      <c r="C10" s="29"/>
      <c r="D10" s="29"/>
      <c r="E10" s="29"/>
      <c r="F10" s="29"/>
      <c r="G10" s="29"/>
      <c r="H10" s="29"/>
      <c r="I10" s="29"/>
      <c r="J10" s="29"/>
      <c r="K10" s="29"/>
      <c r="L10" s="29"/>
      <c r="M10" s="29"/>
      <c r="N10" s="10" t="s">
        <v>270</v>
      </c>
      <c r="O10" s="10" t="s">
        <v>418</v>
      </c>
    </row>
    <row r="11" customFormat="false" ht="15" hidden="false" customHeight="false" outlineLevel="0" collapsed="false">
      <c r="B11" s="7" t="s">
        <v>272</v>
      </c>
      <c r="C11" s="29"/>
      <c r="D11" s="29"/>
      <c r="E11" s="29"/>
      <c r="F11" s="29"/>
      <c r="G11" s="29"/>
      <c r="H11" s="29"/>
      <c r="I11" s="29"/>
      <c r="J11" s="29"/>
      <c r="K11" s="29"/>
      <c r="L11" s="29"/>
      <c r="M11" s="29"/>
      <c r="N11" s="10" t="s">
        <v>266</v>
      </c>
      <c r="O11" s="10" t="s">
        <v>418</v>
      </c>
    </row>
    <row r="12" customFormat="false" ht="15" hidden="false" customHeight="false" outlineLevel="0" collapsed="false">
      <c r="B12" s="7" t="s">
        <v>274</v>
      </c>
      <c r="C12" s="29"/>
      <c r="D12" s="29"/>
      <c r="E12" s="29"/>
      <c r="F12" s="29"/>
      <c r="G12" s="29"/>
      <c r="H12" s="29"/>
      <c r="I12" s="29"/>
      <c r="J12" s="29"/>
      <c r="K12" s="29"/>
      <c r="L12" s="29"/>
      <c r="M12" s="29"/>
      <c r="N12" s="10" t="s">
        <v>275</v>
      </c>
      <c r="O12" s="10" t="s">
        <v>418</v>
      </c>
    </row>
    <row r="13" customFormat="false" ht="15" hidden="false" customHeight="false" outlineLevel="0" collapsed="false">
      <c r="B13" s="7" t="s">
        <v>277</v>
      </c>
      <c r="C13" s="29"/>
      <c r="D13" s="29"/>
      <c r="E13" s="29"/>
      <c r="F13" s="29"/>
      <c r="G13" s="29"/>
      <c r="H13" s="29"/>
      <c r="I13" s="29"/>
      <c r="J13" s="29"/>
      <c r="K13" s="29"/>
      <c r="L13" s="29"/>
      <c r="M13" s="29"/>
      <c r="N13" s="10" t="s">
        <v>275</v>
      </c>
      <c r="O13" s="10" t="s">
        <v>418</v>
      </c>
    </row>
    <row r="14" customFormat="false" ht="15" hidden="false" customHeight="false" outlineLevel="0" collapsed="false">
      <c r="B14" s="7" t="s">
        <v>279</v>
      </c>
      <c r="C14" s="29"/>
      <c r="D14" s="29"/>
      <c r="E14" s="29"/>
      <c r="F14" s="29"/>
      <c r="G14" s="29"/>
      <c r="H14" s="29"/>
      <c r="I14" s="29"/>
      <c r="J14" s="29"/>
      <c r="K14" s="29"/>
      <c r="L14" s="29"/>
      <c r="M14" s="29"/>
      <c r="N14" s="10" t="s">
        <v>266</v>
      </c>
      <c r="O14" s="10" t="s">
        <v>418</v>
      </c>
    </row>
    <row r="15" customFormat="false" ht="15" hidden="false" customHeight="false" outlineLevel="0" collapsed="false">
      <c r="B15" s="7" t="s">
        <v>281</v>
      </c>
      <c r="C15" s="29"/>
      <c r="D15" s="29"/>
      <c r="E15" s="29"/>
      <c r="F15" s="29"/>
      <c r="G15" s="29"/>
      <c r="H15" s="29"/>
      <c r="I15" s="29"/>
      <c r="J15" s="29"/>
      <c r="K15" s="29"/>
      <c r="L15" s="29"/>
      <c r="M15" s="29"/>
      <c r="N15" s="10" t="s">
        <v>282</v>
      </c>
      <c r="O15" s="10" t="s">
        <v>418</v>
      </c>
    </row>
    <row r="16" customFormat="false" ht="15" hidden="false" customHeight="false" outlineLevel="0" collapsed="false">
      <c r="B16" s="7" t="s">
        <v>284</v>
      </c>
      <c r="C16" s="29"/>
      <c r="D16" s="29"/>
      <c r="E16" s="29"/>
      <c r="F16" s="29"/>
      <c r="G16" s="29"/>
      <c r="H16" s="29"/>
      <c r="I16" s="29"/>
      <c r="J16" s="29"/>
      <c r="K16" s="29"/>
      <c r="L16" s="29"/>
      <c r="M16" s="29"/>
      <c r="N16" s="10" t="s">
        <v>282</v>
      </c>
      <c r="O16" s="10" t="s">
        <v>418</v>
      </c>
    </row>
    <row r="17" customFormat="false" ht="15" hidden="false" customHeight="false" outlineLevel="0" collapsed="false">
      <c r="B17" s="7" t="s">
        <v>286</v>
      </c>
      <c r="C17" s="29"/>
      <c r="D17" s="29"/>
      <c r="E17" s="29"/>
      <c r="F17" s="29"/>
      <c r="G17" s="29"/>
      <c r="H17" s="29"/>
      <c r="I17" s="29"/>
      <c r="J17" s="29"/>
      <c r="K17" s="29"/>
      <c r="L17" s="29"/>
      <c r="M17" s="29"/>
      <c r="N17" s="10" t="s">
        <v>287</v>
      </c>
      <c r="O17" s="10" t="s">
        <v>418</v>
      </c>
    </row>
    <row r="18" customFormat="false" ht="15" hidden="false" customHeight="false" outlineLevel="0" collapsed="false">
      <c r="B18" s="7" t="s">
        <v>289</v>
      </c>
      <c r="C18" s="29"/>
      <c r="D18" s="29"/>
      <c r="E18" s="29"/>
      <c r="F18" s="29"/>
      <c r="G18" s="29"/>
      <c r="H18" s="29"/>
      <c r="I18" s="29"/>
      <c r="J18" s="29"/>
      <c r="K18" s="29"/>
      <c r="L18" s="29"/>
      <c r="M18" s="29"/>
      <c r="N18" s="10" t="s">
        <v>290</v>
      </c>
      <c r="O18" s="10" t="s">
        <v>418</v>
      </c>
    </row>
    <row r="19" customFormat="false" ht="15" hidden="false" customHeight="false" outlineLevel="0" collapsed="false">
      <c r="B19" s="7" t="s">
        <v>133</v>
      </c>
      <c r="C19" s="29"/>
      <c r="D19" s="29"/>
      <c r="E19" s="29"/>
      <c r="F19" s="29"/>
      <c r="G19" s="29"/>
      <c r="H19" s="29"/>
      <c r="I19" s="29"/>
      <c r="J19" s="29"/>
      <c r="K19" s="29"/>
      <c r="L19" s="29"/>
      <c r="M19" s="29"/>
      <c r="N19" s="10" t="s">
        <v>292</v>
      </c>
      <c r="O19" s="10" t="s">
        <v>418</v>
      </c>
    </row>
    <row r="20" customFormat="false" ht="15" hidden="false" customHeight="false" outlineLevel="0" collapsed="false">
      <c r="B20" s="7" t="s">
        <v>294</v>
      </c>
      <c r="C20" s="29"/>
      <c r="D20" s="29"/>
      <c r="E20" s="29"/>
      <c r="F20" s="29"/>
      <c r="G20" s="29"/>
      <c r="H20" s="29"/>
      <c r="I20" s="29"/>
      <c r="J20" s="29"/>
      <c r="K20" s="29"/>
      <c r="L20" s="29"/>
      <c r="M20" s="29"/>
      <c r="N20" s="10" t="s">
        <v>266</v>
      </c>
      <c r="O20" s="10" t="s">
        <v>418</v>
      </c>
    </row>
    <row r="22" customFormat="false" ht="15" hidden="false" customHeight="false" outlineLevel="0" collapsed="false">
      <c r="A22" s="12" t="s">
        <v>419</v>
      </c>
      <c r="B22" s="13"/>
      <c r="C22" s="13"/>
      <c r="D22" s="13"/>
      <c r="E22" s="13"/>
      <c r="F22" s="13"/>
      <c r="G22" s="13"/>
      <c r="H22" s="13"/>
      <c r="I22" s="13"/>
      <c r="J22" s="13"/>
      <c r="K22" s="13"/>
      <c r="L22" s="13"/>
      <c r="M22" s="13"/>
      <c r="N22" s="13"/>
      <c r="O22" s="13"/>
    </row>
    <row r="23" customFormat="false" ht="15" hidden="false" customHeight="false" outlineLevel="0" collapsed="false">
      <c r="B23" s="7" t="s">
        <v>260</v>
      </c>
      <c r="C23" s="29"/>
      <c r="D23" s="29"/>
      <c r="E23" s="29"/>
      <c r="F23" s="29"/>
      <c r="G23" s="29"/>
      <c r="H23" s="29"/>
      <c r="I23" s="29"/>
      <c r="J23" s="29"/>
      <c r="K23" s="29"/>
      <c r="L23" s="29"/>
      <c r="M23" s="29"/>
      <c r="N23" s="10" t="s">
        <v>261</v>
      </c>
      <c r="O23" s="10" t="s">
        <v>418</v>
      </c>
    </row>
    <row r="24" customFormat="false" ht="15" hidden="false" customHeight="false" outlineLevel="0" collapsed="false">
      <c r="B24" s="7" t="s">
        <v>263</v>
      </c>
      <c r="C24" s="29"/>
      <c r="D24" s="29"/>
      <c r="E24" s="29"/>
      <c r="F24" s="29"/>
      <c r="G24" s="29"/>
      <c r="H24" s="29"/>
      <c r="I24" s="29"/>
      <c r="J24" s="29"/>
      <c r="K24" s="29"/>
      <c r="L24" s="29"/>
      <c r="M24" s="29"/>
      <c r="N24" s="10" t="s">
        <v>261</v>
      </c>
      <c r="O24" s="10" t="s">
        <v>418</v>
      </c>
    </row>
    <row r="25" customFormat="false" ht="15" hidden="false" customHeight="false" outlineLevel="0" collapsed="false">
      <c r="B25" s="7" t="s">
        <v>265</v>
      </c>
      <c r="C25" s="29"/>
      <c r="D25" s="29"/>
      <c r="E25" s="29"/>
      <c r="F25" s="29"/>
      <c r="G25" s="29"/>
      <c r="H25" s="29"/>
      <c r="I25" s="29"/>
      <c r="J25" s="29"/>
      <c r="K25" s="29"/>
      <c r="L25" s="29"/>
      <c r="M25" s="29"/>
      <c r="N25" s="10" t="s">
        <v>266</v>
      </c>
      <c r="O25" s="10" t="s">
        <v>418</v>
      </c>
    </row>
    <row r="26" customFormat="false" ht="15" hidden="false" customHeight="false" outlineLevel="0" collapsed="false">
      <c r="B26" s="7" t="s">
        <v>78</v>
      </c>
      <c r="C26" s="29"/>
      <c r="D26" s="29"/>
      <c r="E26" s="29"/>
      <c r="F26" s="29"/>
      <c r="G26" s="29"/>
      <c r="H26" s="29"/>
      <c r="I26" s="29"/>
      <c r="J26" s="29"/>
      <c r="K26" s="29"/>
      <c r="L26" s="29"/>
      <c r="M26" s="29"/>
      <c r="N26" s="10" t="s">
        <v>266</v>
      </c>
      <c r="O26" s="10" t="s">
        <v>418</v>
      </c>
    </row>
    <row r="27" customFormat="false" ht="15" hidden="false" customHeight="false" outlineLevel="0" collapsed="false">
      <c r="B27" s="7" t="s">
        <v>269</v>
      </c>
      <c r="C27" s="29"/>
      <c r="D27" s="29"/>
      <c r="E27" s="29"/>
      <c r="F27" s="29"/>
      <c r="G27" s="29"/>
      <c r="H27" s="29"/>
      <c r="I27" s="29"/>
      <c r="J27" s="29"/>
      <c r="K27" s="29"/>
      <c r="L27" s="29"/>
      <c r="M27" s="29"/>
      <c r="N27" s="10" t="s">
        <v>270</v>
      </c>
      <c r="O27" s="10" t="s">
        <v>418</v>
      </c>
    </row>
    <row r="28" customFormat="false" ht="15" hidden="false" customHeight="false" outlineLevel="0" collapsed="false">
      <c r="B28" s="7" t="s">
        <v>272</v>
      </c>
      <c r="C28" s="29"/>
      <c r="D28" s="29"/>
      <c r="E28" s="29"/>
      <c r="F28" s="29"/>
      <c r="G28" s="29"/>
      <c r="H28" s="29"/>
      <c r="I28" s="29"/>
      <c r="J28" s="29"/>
      <c r="K28" s="29"/>
      <c r="L28" s="29"/>
      <c r="M28" s="29"/>
      <c r="N28" s="10" t="s">
        <v>266</v>
      </c>
      <c r="O28" s="10" t="s">
        <v>418</v>
      </c>
    </row>
    <row r="29" customFormat="false" ht="15" hidden="false" customHeight="false" outlineLevel="0" collapsed="false">
      <c r="B29" s="7" t="s">
        <v>274</v>
      </c>
      <c r="C29" s="29"/>
      <c r="D29" s="29"/>
      <c r="E29" s="29"/>
      <c r="F29" s="29"/>
      <c r="G29" s="29"/>
      <c r="H29" s="29"/>
      <c r="I29" s="29"/>
      <c r="J29" s="29"/>
      <c r="K29" s="29"/>
      <c r="L29" s="29"/>
      <c r="M29" s="29"/>
      <c r="N29" s="10" t="s">
        <v>275</v>
      </c>
      <c r="O29" s="10" t="s">
        <v>418</v>
      </c>
    </row>
    <row r="30" customFormat="false" ht="15" hidden="false" customHeight="false" outlineLevel="0" collapsed="false">
      <c r="B30" s="7" t="s">
        <v>277</v>
      </c>
      <c r="C30" s="29"/>
      <c r="D30" s="29"/>
      <c r="E30" s="29"/>
      <c r="F30" s="29"/>
      <c r="G30" s="29"/>
      <c r="H30" s="29"/>
      <c r="I30" s="29"/>
      <c r="J30" s="29"/>
      <c r="K30" s="29"/>
      <c r="L30" s="29"/>
      <c r="M30" s="29"/>
      <c r="N30" s="10" t="s">
        <v>275</v>
      </c>
      <c r="O30" s="10" t="s">
        <v>418</v>
      </c>
    </row>
    <row r="31" customFormat="false" ht="15" hidden="false" customHeight="false" outlineLevel="0" collapsed="false">
      <c r="B31" s="7" t="s">
        <v>279</v>
      </c>
      <c r="C31" s="29"/>
      <c r="D31" s="29"/>
      <c r="E31" s="29"/>
      <c r="F31" s="29"/>
      <c r="G31" s="29"/>
      <c r="H31" s="29"/>
      <c r="I31" s="29"/>
      <c r="J31" s="29"/>
      <c r="K31" s="29"/>
      <c r="L31" s="29"/>
      <c r="M31" s="29"/>
      <c r="N31" s="10" t="s">
        <v>266</v>
      </c>
      <c r="O31" s="10" t="s">
        <v>418</v>
      </c>
    </row>
    <row r="32" customFormat="false" ht="15" hidden="false" customHeight="false" outlineLevel="0" collapsed="false">
      <c r="B32" s="7" t="s">
        <v>281</v>
      </c>
      <c r="C32" s="29"/>
      <c r="D32" s="29"/>
      <c r="E32" s="29"/>
      <c r="F32" s="29"/>
      <c r="G32" s="29"/>
      <c r="H32" s="29"/>
      <c r="I32" s="29"/>
      <c r="J32" s="29"/>
      <c r="K32" s="29"/>
      <c r="L32" s="29"/>
      <c r="M32" s="29"/>
      <c r="N32" s="10" t="s">
        <v>282</v>
      </c>
      <c r="O32" s="10" t="s">
        <v>418</v>
      </c>
    </row>
    <row r="33" customFormat="false" ht="15" hidden="false" customHeight="false" outlineLevel="0" collapsed="false">
      <c r="B33" s="7" t="s">
        <v>284</v>
      </c>
      <c r="C33" s="29"/>
      <c r="D33" s="29"/>
      <c r="E33" s="29"/>
      <c r="F33" s="29"/>
      <c r="G33" s="29"/>
      <c r="H33" s="29"/>
      <c r="I33" s="29"/>
      <c r="J33" s="29"/>
      <c r="K33" s="29"/>
      <c r="L33" s="29"/>
      <c r="M33" s="29"/>
      <c r="N33" s="10" t="s">
        <v>282</v>
      </c>
      <c r="O33" s="10" t="s">
        <v>418</v>
      </c>
    </row>
    <row r="34" customFormat="false" ht="15" hidden="false" customHeight="false" outlineLevel="0" collapsed="false">
      <c r="B34" s="7" t="s">
        <v>286</v>
      </c>
      <c r="C34" s="29"/>
      <c r="D34" s="29"/>
      <c r="E34" s="29"/>
      <c r="F34" s="29"/>
      <c r="G34" s="29"/>
      <c r="H34" s="29"/>
      <c r="I34" s="29"/>
      <c r="J34" s="29"/>
      <c r="K34" s="29"/>
      <c r="L34" s="29"/>
      <c r="M34" s="29"/>
      <c r="N34" s="10" t="s">
        <v>287</v>
      </c>
      <c r="O34" s="10" t="s">
        <v>418</v>
      </c>
    </row>
    <row r="35" customFormat="false" ht="15" hidden="false" customHeight="false" outlineLevel="0" collapsed="false">
      <c r="B35" s="7" t="s">
        <v>289</v>
      </c>
      <c r="C35" s="29"/>
      <c r="D35" s="29"/>
      <c r="E35" s="29"/>
      <c r="F35" s="29"/>
      <c r="G35" s="29"/>
      <c r="H35" s="29"/>
      <c r="I35" s="29"/>
      <c r="J35" s="29"/>
      <c r="K35" s="29"/>
      <c r="L35" s="29"/>
      <c r="M35" s="29"/>
      <c r="N35" s="10" t="s">
        <v>290</v>
      </c>
      <c r="O35" s="10" t="s">
        <v>418</v>
      </c>
    </row>
    <row r="36" customFormat="false" ht="15" hidden="false" customHeight="false" outlineLevel="0" collapsed="false">
      <c r="B36" s="7" t="s">
        <v>133</v>
      </c>
      <c r="C36" s="29"/>
      <c r="D36" s="29"/>
      <c r="E36" s="29"/>
      <c r="F36" s="29"/>
      <c r="G36" s="29"/>
      <c r="H36" s="29"/>
      <c r="I36" s="29"/>
      <c r="J36" s="29"/>
      <c r="K36" s="29"/>
      <c r="L36" s="29"/>
      <c r="M36" s="29"/>
      <c r="N36" s="10" t="s">
        <v>292</v>
      </c>
      <c r="O36" s="10" t="s">
        <v>418</v>
      </c>
    </row>
    <row r="37" customFormat="false" ht="15" hidden="false" customHeight="false" outlineLevel="0" collapsed="false">
      <c r="B37" s="7" t="s">
        <v>294</v>
      </c>
      <c r="C37" s="29"/>
      <c r="D37" s="29"/>
      <c r="E37" s="29"/>
      <c r="F37" s="29"/>
      <c r="G37" s="29"/>
      <c r="H37" s="29"/>
      <c r="I37" s="29"/>
      <c r="J37" s="29"/>
      <c r="K37" s="29"/>
      <c r="L37" s="29"/>
      <c r="M37" s="29"/>
      <c r="N37" s="10" t="s">
        <v>266</v>
      </c>
      <c r="O37" s="10" t="s">
        <v>418</v>
      </c>
    </row>
    <row r="39" customFormat="false" ht="15" hidden="false" customHeight="false" outlineLevel="0" collapsed="false">
      <c r="A39" s="12" t="s">
        <v>420</v>
      </c>
      <c r="B39" s="13"/>
      <c r="C39" s="13"/>
      <c r="D39" s="13"/>
      <c r="E39" s="13"/>
      <c r="F39" s="13"/>
      <c r="G39" s="13"/>
      <c r="H39" s="13"/>
      <c r="I39" s="13"/>
      <c r="J39" s="13"/>
      <c r="K39" s="13"/>
      <c r="L39" s="13"/>
      <c r="M39" s="13"/>
      <c r="N39" s="13"/>
      <c r="O39" s="13"/>
    </row>
    <row r="40" customFormat="false" ht="15" hidden="false" customHeight="false" outlineLevel="0" collapsed="false">
      <c r="B40" s="7" t="s">
        <v>260</v>
      </c>
      <c r="C40" s="29"/>
      <c r="D40" s="29"/>
      <c r="E40" s="29"/>
      <c r="F40" s="29"/>
      <c r="G40" s="29"/>
      <c r="H40" s="29"/>
      <c r="I40" s="29"/>
      <c r="J40" s="29"/>
      <c r="K40" s="29"/>
      <c r="L40" s="29"/>
      <c r="M40" s="29"/>
      <c r="N40" s="10" t="s">
        <v>261</v>
      </c>
      <c r="O40" s="10" t="s">
        <v>418</v>
      </c>
    </row>
    <row r="41" customFormat="false" ht="15" hidden="false" customHeight="false" outlineLevel="0" collapsed="false">
      <c r="B41" s="7" t="s">
        <v>263</v>
      </c>
      <c r="C41" s="29"/>
      <c r="D41" s="29"/>
      <c r="E41" s="29"/>
      <c r="F41" s="29"/>
      <c r="G41" s="29"/>
      <c r="H41" s="29"/>
      <c r="I41" s="29"/>
      <c r="J41" s="29"/>
      <c r="K41" s="29"/>
      <c r="L41" s="29"/>
      <c r="M41" s="29"/>
      <c r="N41" s="10" t="s">
        <v>261</v>
      </c>
      <c r="O41" s="10" t="s">
        <v>418</v>
      </c>
    </row>
    <row r="42" customFormat="false" ht="15" hidden="false" customHeight="false" outlineLevel="0" collapsed="false">
      <c r="B42" s="7" t="s">
        <v>265</v>
      </c>
      <c r="C42" s="29"/>
      <c r="D42" s="29"/>
      <c r="E42" s="29"/>
      <c r="F42" s="29"/>
      <c r="G42" s="29"/>
      <c r="H42" s="29"/>
      <c r="I42" s="29"/>
      <c r="J42" s="29"/>
      <c r="K42" s="29"/>
      <c r="L42" s="29"/>
      <c r="M42" s="29"/>
      <c r="N42" s="10" t="s">
        <v>266</v>
      </c>
      <c r="O42" s="10" t="s">
        <v>418</v>
      </c>
    </row>
    <row r="43" customFormat="false" ht="15" hidden="false" customHeight="false" outlineLevel="0" collapsed="false">
      <c r="B43" s="7" t="s">
        <v>78</v>
      </c>
      <c r="C43" s="29"/>
      <c r="D43" s="29"/>
      <c r="E43" s="29"/>
      <c r="F43" s="29"/>
      <c r="G43" s="29"/>
      <c r="H43" s="29"/>
      <c r="I43" s="29"/>
      <c r="J43" s="29"/>
      <c r="K43" s="29"/>
      <c r="L43" s="29"/>
      <c r="M43" s="29"/>
      <c r="N43" s="10" t="s">
        <v>266</v>
      </c>
      <c r="O43" s="10" t="s">
        <v>418</v>
      </c>
    </row>
    <row r="44" customFormat="false" ht="15" hidden="false" customHeight="false" outlineLevel="0" collapsed="false">
      <c r="B44" s="7" t="s">
        <v>269</v>
      </c>
      <c r="C44" s="29"/>
      <c r="D44" s="29"/>
      <c r="E44" s="29"/>
      <c r="F44" s="29"/>
      <c r="G44" s="29"/>
      <c r="H44" s="29"/>
      <c r="I44" s="29"/>
      <c r="J44" s="29"/>
      <c r="K44" s="29"/>
      <c r="L44" s="29"/>
      <c r="M44" s="29"/>
      <c r="N44" s="10" t="s">
        <v>270</v>
      </c>
      <c r="O44" s="10" t="s">
        <v>418</v>
      </c>
    </row>
    <row r="45" customFormat="false" ht="15" hidden="false" customHeight="false" outlineLevel="0" collapsed="false">
      <c r="B45" s="7" t="s">
        <v>272</v>
      </c>
      <c r="C45" s="29"/>
      <c r="D45" s="29"/>
      <c r="E45" s="29"/>
      <c r="F45" s="29"/>
      <c r="G45" s="29"/>
      <c r="H45" s="29"/>
      <c r="I45" s="29"/>
      <c r="J45" s="29"/>
      <c r="K45" s="29"/>
      <c r="L45" s="29"/>
      <c r="M45" s="29"/>
      <c r="N45" s="10" t="s">
        <v>266</v>
      </c>
      <c r="O45" s="10" t="s">
        <v>418</v>
      </c>
    </row>
    <row r="46" customFormat="false" ht="15" hidden="false" customHeight="false" outlineLevel="0" collapsed="false">
      <c r="B46" s="7" t="s">
        <v>274</v>
      </c>
      <c r="C46" s="29"/>
      <c r="D46" s="29"/>
      <c r="E46" s="29"/>
      <c r="F46" s="29"/>
      <c r="G46" s="29"/>
      <c r="H46" s="29"/>
      <c r="I46" s="29"/>
      <c r="J46" s="29"/>
      <c r="K46" s="29"/>
      <c r="L46" s="29"/>
      <c r="M46" s="29"/>
      <c r="N46" s="10" t="s">
        <v>275</v>
      </c>
      <c r="O46" s="10" t="s">
        <v>418</v>
      </c>
    </row>
    <row r="47" customFormat="false" ht="15" hidden="false" customHeight="false" outlineLevel="0" collapsed="false">
      <c r="B47" s="7" t="s">
        <v>277</v>
      </c>
      <c r="C47" s="29"/>
      <c r="D47" s="29"/>
      <c r="E47" s="29"/>
      <c r="F47" s="29"/>
      <c r="G47" s="29"/>
      <c r="H47" s="29"/>
      <c r="I47" s="29"/>
      <c r="J47" s="29"/>
      <c r="K47" s="29"/>
      <c r="L47" s="29"/>
      <c r="M47" s="29"/>
      <c r="N47" s="10" t="s">
        <v>275</v>
      </c>
      <c r="O47" s="10" t="s">
        <v>418</v>
      </c>
    </row>
    <row r="48" customFormat="false" ht="15" hidden="false" customHeight="false" outlineLevel="0" collapsed="false">
      <c r="B48" s="7" t="s">
        <v>279</v>
      </c>
      <c r="C48" s="29"/>
      <c r="D48" s="29"/>
      <c r="E48" s="29"/>
      <c r="F48" s="29"/>
      <c r="G48" s="29"/>
      <c r="H48" s="29"/>
      <c r="I48" s="29"/>
      <c r="J48" s="29"/>
      <c r="K48" s="29"/>
      <c r="L48" s="29"/>
      <c r="M48" s="29"/>
      <c r="N48" s="10" t="s">
        <v>266</v>
      </c>
      <c r="O48" s="10" t="s">
        <v>418</v>
      </c>
    </row>
    <row r="49" customFormat="false" ht="15" hidden="false" customHeight="false" outlineLevel="0" collapsed="false">
      <c r="B49" s="7" t="s">
        <v>281</v>
      </c>
      <c r="C49" s="29"/>
      <c r="D49" s="29"/>
      <c r="E49" s="29"/>
      <c r="F49" s="29"/>
      <c r="G49" s="29"/>
      <c r="H49" s="29"/>
      <c r="I49" s="29"/>
      <c r="J49" s="29"/>
      <c r="K49" s="29"/>
      <c r="L49" s="29"/>
      <c r="M49" s="29"/>
      <c r="N49" s="10" t="s">
        <v>282</v>
      </c>
      <c r="O49" s="10" t="s">
        <v>418</v>
      </c>
    </row>
    <row r="50" customFormat="false" ht="15" hidden="false" customHeight="false" outlineLevel="0" collapsed="false">
      <c r="B50" s="7" t="s">
        <v>284</v>
      </c>
      <c r="C50" s="29"/>
      <c r="D50" s="29"/>
      <c r="E50" s="29"/>
      <c r="F50" s="29"/>
      <c r="G50" s="29"/>
      <c r="H50" s="29"/>
      <c r="I50" s="29"/>
      <c r="J50" s="29"/>
      <c r="K50" s="29"/>
      <c r="L50" s="29"/>
      <c r="M50" s="29"/>
      <c r="N50" s="10" t="s">
        <v>282</v>
      </c>
      <c r="O50" s="10" t="s">
        <v>418</v>
      </c>
    </row>
    <row r="51" customFormat="false" ht="15" hidden="false" customHeight="false" outlineLevel="0" collapsed="false">
      <c r="B51" s="7" t="s">
        <v>286</v>
      </c>
      <c r="C51" s="29"/>
      <c r="D51" s="29"/>
      <c r="E51" s="29"/>
      <c r="F51" s="29"/>
      <c r="G51" s="29"/>
      <c r="H51" s="29"/>
      <c r="I51" s="29"/>
      <c r="J51" s="29"/>
      <c r="K51" s="29"/>
      <c r="L51" s="29"/>
      <c r="M51" s="29"/>
      <c r="N51" s="10" t="s">
        <v>287</v>
      </c>
      <c r="O51" s="10" t="s">
        <v>418</v>
      </c>
    </row>
    <row r="52" customFormat="false" ht="15" hidden="false" customHeight="false" outlineLevel="0" collapsed="false">
      <c r="B52" s="7" t="s">
        <v>289</v>
      </c>
      <c r="C52" s="29"/>
      <c r="D52" s="29"/>
      <c r="E52" s="29"/>
      <c r="F52" s="29"/>
      <c r="G52" s="29"/>
      <c r="H52" s="29"/>
      <c r="I52" s="29"/>
      <c r="J52" s="29"/>
      <c r="K52" s="29"/>
      <c r="L52" s="29"/>
      <c r="M52" s="29"/>
      <c r="N52" s="10" t="s">
        <v>290</v>
      </c>
      <c r="O52" s="10" t="s">
        <v>418</v>
      </c>
    </row>
    <row r="53" customFormat="false" ht="15" hidden="false" customHeight="false" outlineLevel="0" collapsed="false">
      <c r="B53" s="7" t="s">
        <v>133</v>
      </c>
      <c r="C53" s="29"/>
      <c r="D53" s="29"/>
      <c r="E53" s="29"/>
      <c r="F53" s="29"/>
      <c r="G53" s="29"/>
      <c r="H53" s="29"/>
      <c r="I53" s="29"/>
      <c r="J53" s="29"/>
      <c r="K53" s="29"/>
      <c r="L53" s="29"/>
      <c r="M53" s="29"/>
      <c r="N53" s="10" t="s">
        <v>292</v>
      </c>
      <c r="O53" s="10" t="s">
        <v>418</v>
      </c>
    </row>
    <row r="54" customFormat="false" ht="15" hidden="false" customHeight="false" outlineLevel="0" collapsed="false">
      <c r="B54" s="7" t="s">
        <v>294</v>
      </c>
      <c r="C54" s="29"/>
      <c r="D54" s="29"/>
      <c r="E54" s="29"/>
      <c r="F54" s="29"/>
      <c r="G54" s="29"/>
      <c r="H54" s="29"/>
      <c r="I54" s="29"/>
      <c r="J54" s="29"/>
      <c r="K54" s="29"/>
      <c r="L54" s="29"/>
      <c r="M54" s="29"/>
      <c r="N54" s="10" t="s">
        <v>266</v>
      </c>
      <c r="O54" s="10" t="s">
        <v>418</v>
      </c>
    </row>
    <row r="56" customFormat="false" ht="15" hidden="false" customHeight="false" outlineLevel="0" collapsed="false">
      <c r="A56" s="12" t="s">
        <v>330</v>
      </c>
      <c r="B56" s="13"/>
      <c r="C56" s="13"/>
      <c r="D56" s="13"/>
      <c r="E56" s="13"/>
      <c r="F56" s="13"/>
      <c r="G56" s="13"/>
      <c r="H56" s="13"/>
      <c r="I56" s="13"/>
      <c r="J56" s="13"/>
      <c r="K56" s="13"/>
      <c r="L56" s="13"/>
      <c r="M56" s="13"/>
      <c r="N56" s="13"/>
      <c r="O56" s="13"/>
    </row>
    <row r="57" customFormat="false" ht="15" hidden="false" customHeight="false" outlineLevel="0" collapsed="false">
      <c r="A57" s="23" t="s">
        <v>331</v>
      </c>
      <c r="B57" s="24" t="s">
        <v>332</v>
      </c>
      <c r="C57" s="25"/>
      <c r="D57" s="25"/>
      <c r="E57" s="25"/>
      <c r="F57" s="25"/>
      <c r="G57" s="25"/>
      <c r="H57" s="25"/>
      <c r="I57" s="25"/>
      <c r="J57" s="25"/>
      <c r="K57" s="25"/>
      <c r="L57" s="25"/>
      <c r="M57" s="25"/>
      <c r="N57" s="25"/>
      <c r="O57" s="25"/>
    </row>
    <row r="58" customFormat="false" ht="15" hidden="false" customHeight="false" outlineLevel="0" collapsed="false">
      <c r="B58" s="7" t="s">
        <v>333</v>
      </c>
      <c r="C58" s="30" t="n">
        <f aca="false">'Model - NA'!C58+'Model - INTL'!C58+'Model - OTHER'!C58</f>
        <v>2642</v>
      </c>
      <c r="D58" s="30" t="n">
        <f aca="false">'Model - NA'!D58+'Model - INTL'!D58+'Model - OTHER'!D58</f>
        <v>2582</v>
      </c>
      <c r="E58" s="30" t="n">
        <f aca="false">'Model - NA'!E58+'Model - INTL'!E58+'Model - OTHER'!E58</f>
        <v>2516</v>
      </c>
      <c r="F58" s="30" t="n">
        <f aca="false">'Model - NA'!F58+'Model - INTL'!F58+'Model - OTHER'!F58</f>
        <v>2473</v>
      </c>
      <c r="G58" s="30" t="n">
        <f aca="false">'Model - NA'!G58+'Model - INTL'!G58+'Model - OTHER'!G58</f>
        <v>2440</v>
      </c>
      <c r="H58" s="30" t="n">
        <f aca="false">'Model - NA'!H58+'Model - INTL'!H58+'Model - OTHER'!H58</f>
        <v>2419</v>
      </c>
      <c r="I58" s="30" t="n">
        <f aca="false">'Model - NA'!I58+'Model - INTL'!I58+'Model - OTHER'!I58</f>
        <v>2403</v>
      </c>
      <c r="J58" s="30" t="n">
        <f aca="false">'Model - NA'!J58+'Model - INTL'!J58+'Model - OTHER'!J58</f>
        <v>2393</v>
      </c>
      <c r="K58" s="30" t="n">
        <f aca="false">'Model - NA'!K58+'Model - INTL'!K58+'Model - OTHER'!K58</f>
        <v>2383</v>
      </c>
      <c r="L58" s="30" t="n">
        <f aca="false">'Model - NA'!L58+'Model - INTL'!L58+'Model - OTHER'!L58</f>
        <v>2373</v>
      </c>
      <c r="M58" s="30" t="n">
        <f aca="false">'Model - NA'!M58+'Model - INTL'!M58+'Model - OTHER'!M58</f>
        <v>2363</v>
      </c>
      <c r="N58" s="10" t="s">
        <v>261</v>
      </c>
      <c r="O58" s="10" t="s">
        <v>334</v>
      </c>
    </row>
    <row r="59" customFormat="false" ht="15" hidden="false" customHeight="false" outlineLevel="0" collapsed="false">
      <c r="B59" s="7" t="s">
        <v>335</v>
      </c>
      <c r="C59" s="30" t="n">
        <f aca="false">'Model - NA'!C59+'Model - INTL'!C59+'Model - OTHER'!C59</f>
        <v>14</v>
      </c>
      <c r="D59" s="30" t="n">
        <f aca="false">'Model - NA'!D59+'Model - INTL'!D59+'Model - OTHER'!D59</f>
        <v>8</v>
      </c>
      <c r="E59" s="30" t="n">
        <f aca="false">'Model - NA'!E59+'Model - INTL'!E59+'Model - OTHER'!E59</f>
        <v>12</v>
      </c>
      <c r="F59" s="30" t="n">
        <f aca="false">'Model - NA'!F59+'Model - INTL'!F59+'Model - OTHER'!F59</f>
        <v>12</v>
      </c>
      <c r="G59" s="30" t="n">
        <f aca="false">'Model - NA'!G59+'Model - INTL'!G59+'Model - OTHER'!G59</f>
        <v>14</v>
      </c>
      <c r="H59" s="30" t="n">
        <f aca="false">'Model - NA'!H59+'Model - INTL'!H59+'Model - OTHER'!H59</f>
        <v>14</v>
      </c>
      <c r="I59" s="30" t="n">
        <f aca="false">'Model - NA'!I59+'Model - INTL'!I59+'Model - OTHER'!I59</f>
        <v>14</v>
      </c>
      <c r="J59" s="30" t="n">
        <f aca="false">'Model - NA'!J59+'Model - INTL'!J59+'Model - OTHER'!J59</f>
        <v>14</v>
      </c>
      <c r="K59" s="30" t="n">
        <f aca="false">'Model - NA'!K59+'Model - INTL'!K59+'Model - OTHER'!K59</f>
        <v>14</v>
      </c>
      <c r="L59" s="30" t="n">
        <f aca="false">'Model - NA'!L59+'Model - INTL'!L59+'Model - OTHER'!L59</f>
        <v>14</v>
      </c>
      <c r="M59" s="30" t="n">
        <f aca="false">'Model - NA'!M59+'Model - INTL'!M59+'Model - OTHER'!M59</f>
        <v>14</v>
      </c>
      <c r="N59" s="10" t="s">
        <v>261</v>
      </c>
      <c r="O59" s="10"/>
    </row>
    <row r="60" customFormat="false" ht="15" hidden="false" customHeight="false" outlineLevel="0" collapsed="false">
      <c r="B60" s="7" t="s">
        <v>336</v>
      </c>
      <c r="C60" s="30" t="n">
        <f aca="false">'Model - NA'!C60+'Model - INTL'!C60+'Model - OTHER'!C60</f>
        <v>74</v>
      </c>
      <c r="D60" s="30" t="n">
        <f aca="false">'Model - NA'!D60+'Model - INTL'!D60+'Model - OTHER'!D60</f>
        <v>74</v>
      </c>
      <c r="E60" s="30" t="n">
        <f aca="false">'Model - NA'!E60+'Model - INTL'!E60+'Model - OTHER'!E60</f>
        <v>55</v>
      </c>
      <c r="F60" s="30" t="n">
        <f aca="false">'Model - NA'!F60+'Model - INTL'!F60+'Model - OTHER'!F60</f>
        <v>45</v>
      </c>
      <c r="G60" s="30" t="n">
        <f aca="false">'Model - NA'!G60+'Model - INTL'!G60+'Model - OTHER'!G60</f>
        <v>35</v>
      </c>
      <c r="H60" s="30" t="n">
        <f aca="false">'Model - NA'!H60+'Model - INTL'!H60+'Model - OTHER'!H60</f>
        <v>30</v>
      </c>
      <c r="I60" s="30" t="n">
        <f aca="false">'Model - NA'!I60+'Model - INTL'!I60+'Model - OTHER'!I60</f>
        <v>24</v>
      </c>
      <c r="J60" s="30" t="n">
        <f aca="false">'Model - NA'!J60+'Model - INTL'!J60+'Model - OTHER'!J60</f>
        <v>24</v>
      </c>
      <c r="K60" s="30" t="n">
        <f aca="false">'Model - NA'!K60+'Model - INTL'!K60+'Model - OTHER'!K60</f>
        <v>24</v>
      </c>
      <c r="L60" s="30" t="n">
        <f aca="false">'Model - NA'!L60+'Model - INTL'!L60+'Model - OTHER'!L60</f>
        <v>24</v>
      </c>
      <c r="M60" s="30" t="n">
        <f aca="false">'Model - NA'!M60+'Model - INTL'!M60+'Model - OTHER'!M60</f>
        <v>24</v>
      </c>
      <c r="N60" s="10" t="s">
        <v>261</v>
      </c>
      <c r="O60" s="10"/>
    </row>
    <row r="61" customFormat="false" ht="15" hidden="false" customHeight="false" outlineLevel="0" collapsed="false">
      <c r="B61" s="7" t="s">
        <v>337</v>
      </c>
      <c r="C61" s="30" t="n">
        <f aca="false">'Model - NA'!C61+'Model - INTL'!C61+'Model - OTHER'!C61</f>
        <v>2582</v>
      </c>
      <c r="D61" s="30" t="n">
        <f aca="false">'Model - NA'!D61+'Model - INTL'!D61+'Model - OTHER'!D61</f>
        <v>2516</v>
      </c>
      <c r="E61" s="30" t="n">
        <f aca="false">'Model - NA'!E61+'Model - INTL'!E61+'Model - OTHER'!E61</f>
        <v>2473</v>
      </c>
      <c r="F61" s="30" t="n">
        <f aca="false">'Model - NA'!F61+'Model - INTL'!F61+'Model - OTHER'!F61</f>
        <v>2440</v>
      </c>
      <c r="G61" s="30" t="n">
        <f aca="false">'Model - NA'!G61+'Model - INTL'!G61+'Model - OTHER'!G61</f>
        <v>2419</v>
      </c>
      <c r="H61" s="30" t="n">
        <f aca="false">'Model - NA'!H61+'Model - INTL'!H61+'Model - OTHER'!H61</f>
        <v>2403</v>
      </c>
      <c r="I61" s="30" t="n">
        <f aca="false">'Model - NA'!I61+'Model - INTL'!I61+'Model - OTHER'!I61</f>
        <v>2393</v>
      </c>
      <c r="J61" s="30" t="n">
        <f aca="false">'Model - NA'!J61+'Model - INTL'!J61+'Model - OTHER'!J61</f>
        <v>2383</v>
      </c>
      <c r="K61" s="30" t="n">
        <f aca="false">'Model - NA'!K61+'Model - INTL'!K61+'Model - OTHER'!K61</f>
        <v>2373</v>
      </c>
      <c r="L61" s="30" t="n">
        <f aca="false">'Model - NA'!L61+'Model - INTL'!L61+'Model - OTHER'!L61</f>
        <v>2363</v>
      </c>
      <c r="M61" s="30" t="n">
        <f aca="false">'Model - NA'!M61+'Model - INTL'!M61+'Model - OTHER'!M61</f>
        <v>2353</v>
      </c>
      <c r="N61" s="10" t="s">
        <v>261</v>
      </c>
      <c r="O61" s="10"/>
    </row>
    <row r="62" customFormat="false" ht="15" hidden="false" customHeight="false" outlineLevel="0" collapsed="false">
      <c r="B62" s="7" t="s">
        <v>338</v>
      </c>
      <c r="C62" s="31" t="n">
        <f aca="false">'Model - NA'!C62+'Model - INTL'!C62+'Model - OTHER'!C62</f>
        <v>2612</v>
      </c>
      <c r="D62" s="31" t="n">
        <f aca="false">'Model - NA'!D62+'Model - INTL'!D62+'Model - OTHER'!D62</f>
        <v>2549</v>
      </c>
      <c r="E62" s="31" t="n">
        <f aca="false">'Model - NA'!E62+'Model - INTL'!E62+'Model - OTHER'!E62</f>
        <v>2494.5</v>
      </c>
      <c r="F62" s="31" t="n">
        <f aca="false">'Model - NA'!F62+'Model - INTL'!F62+'Model - OTHER'!F62</f>
        <v>2456.5</v>
      </c>
      <c r="G62" s="31" t="n">
        <f aca="false">'Model - NA'!G62+'Model - INTL'!G62+'Model - OTHER'!G62</f>
        <v>2429.5</v>
      </c>
      <c r="H62" s="31" t="n">
        <f aca="false">'Model - NA'!H62+'Model - INTL'!H62+'Model - OTHER'!H62</f>
        <v>2411</v>
      </c>
      <c r="I62" s="31" t="n">
        <f aca="false">'Model - NA'!I62+'Model - INTL'!I62+'Model - OTHER'!I62</f>
        <v>2398</v>
      </c>
      <c r="J62" s="31" t="n">
        <f aca="false">'Model - NA'!J62+'Model - INTL'!J62+'Model - OTHER'!J62</f>
        <v>2388</v>
      </c>
      <c r="K62" s="31" t="n">
        <f aca="false">'Model - NA'!K62+'Model - INTL'!K62+'Model - OTHER'!K62</f>
        <v>2378</v>
      </c>
      <c r="L62" s="31" t="n">
        <f aca="false">'Model - NA'!L62+'Model - INTL'!L62+'Model - OTHER'!L62</f>
        <v>2368</v>
      </c>
      <c r="M62" s="31" t="n">
        <f aca="false">'Model - NA'!M62+'Model - INTL'!M62+'Model - OTHER'!M62</f>
        <v>2358</v>
      </c>
      <c r="N62" s="10" t="s">
        <v>261</v>
      </c>
      <c r="O62" s="10"/>
    </row>
    <row r="63" customFormat="false" ht="15" hidden="false" customHeight="false" outlineLevel="0" collapsed="false">
      <c r="B63" s="7" t="s">
        <v>339</v>
      </c>
      <c r="C63" s="26" t="n">
        <f aca="false">IF(C62=0,0,C66/C62)</f>
        <v>1.71807044410414</v>
      </c>
      <c r="D63" s="26" t="n">
        <f aca="false">IF(D62=0,0,D66/D62)</f>
        <v>1.74437953533439</v>
      </c>
      <c r="E63" s="26" t="n">
        <f aca="false">IF(E62=0,0,E66/E62)</f>
        <v>1.77857586671654</v>
      </c>
      <c r="F63" s="26" t="n">
        <f aca="false">IF(F62=0,0,F66/F62)</f>
        <v>1.81394885927565</v>
      </c>
      <c r="G63" s="26" t="n">
        <f aca="false">IF(G62=0,0,G66/G62)</f>
        <v>1.85030215427288</v>
      </c>
      <c r="H63" s="26" t="n">
        <f aca="false">IF(H62=0,0,H66/H62)</f>
        <v>1.88760932086657</v>
      </c>
      <c r="I63" s="26" t="n">
        <f aca="false">IF(I62=0,0,I66/I62)</f>
        <v>1.92568579467041</v>
      </c>
      <c r="J63" s="26" t="n">
        <f aca="false">IF(J62=0,0,J66/J62)</f>
        <v>1.96447763702982</v>
      </c>
      <c r="K63" s="26" t="n">
        <f aca="false">IF(K62=0,0,K66/K62)</f>
        <v>2.00405326471188</v>
      </c>
      <c r="L63" s="26" t="n">
        <f aca="false">IF(L62=0,0,L66/L62)</f>
        <v>2.04442859094337</v>
      </c>
      <c r="M63" s="26" t="n">
        <f aca="false">IF(M62=0,0,M66/M62)</f>
        <v>2.08561985468716</v>
      </c>
      <c r="N63" s="10" t="s">
        <v>340</v>
      </c>
      <c r="O63" s="10" t="s">
        <v>341</v>
      </c>
    </row>
    <row r="65" customFormat="false" ht="15" hidden="false" customHeight="false" outlineLevel="0" collapsed="false">
      <c r="A65" s="23" t="s">
        <v>342</v>
      </c>
      <c r="B65" s="24" t="s">
        <v>343</v>
      </c>
      <c r="C65" s="25"/>
      <c r="D65" s="25"/>
      <c r="E65" s="25"/>
      <c r="F65" s="25"/>
      <c r="G65" s="25"/>
      <c r="H65" s="25"/>
      <c r="I65" s="25"/>
      <c r="J65" s="25"/>
      <c r="K65" s="25"/>
      <c r="L65" s="25"/>
      <c r="M65" s="25"/>
      <c r="N65" s="25"/>
      <c r="O65" s="25"/>
    </row>
    <row r="66" customFormat="false" ht="15" hidden="false" customHeight="false" outlineLevel="0" collapsed="false">
      <c r="B66" s="7" t="s">
        <v>344</v>
      </c>
      <c r="C66" s="31" t="n">
        <f aca="false">'Model - NA'!C66+'Model - INTL'!C66+'Model - OTHER'!C66</f>
        <v>4487.6</v>
      </c>
      <c r="D66" s="31" t="n">
        <f aca="false">'Model - NA'!D66+'Model - INTL'!D66+'Model - OTHER'!D66</f>
        <v>4446.42343556737</v>
      </c>
      <c r="E66" s="31" t="n">
        <f aca="false">'Model - NA'!E66+'Model - INTL'!E66+'Model - OTHER'!E66</f>
        <v>4436.65749952441</v>
      </c>
      <c r="F66" s="31" t="n">
        <f aca="false">'Model - NA'!F66+'Model - INTL'!F66+'Model - OTHER'!F66</f>
        <v>4455.96537281064</v>
      </c>
      <c r="G66" s="31" t="n">
        <f aca="false">'Model - NA'!G66+'Model - INTL'!G66+'Model - OTHER'!G66</f>
        <v>4495.30908380596</v>
      </c>
      <c r="H66" s="31" t="n">
        <f aca="false">'Model - NA'!H66+'Model - INTL'!H66+'Model - OTHER'!H66</f>
        <v>4551.0260726093</v>
      </c>
      <c r="I66" s="31" t="n">
        <f aca="false">'Model - NA'!I66+'Model - INTL'!I66+'Model - OTHER'!I66</f>
        <v>4617.79453561964</v>
      </c>
      <c r="J66" s="31" t="n">
        <f aca="false">'Model - NA'!J66+'Model - INTL'!J66+'Model - OTHER'!J66</f>
        <v>4691.17259722722</v>
      </c>
      <c r="K66" s="31" t="n">
        <f aca="false">'Model - NA'!K66+'Model - INTL'!K66+'Model - OTHER'!K66</f>
        <v>4765.63866348485</v>
      </c>
      <c r="L66" s="31" t="n">
        <f aca="false">'Model - NA'!L66+'Model - INTL'!L66+'Model - OTHER'!L66</f>
        <v>4841.2069033539</v>
      </c>
      <c r="M66" s="31" t="n">
        <f aca="false">'Model - NA'!M66+'Model - INTL'!M66+'Model - OTHER'!M66</f>
        <v>4917.89161735232</v>
      </c>
      <c r="N66" s="10" t="s">
        <v>282</v>
      </c>
      <c r="O66" s="10"/>
    </row>
    <row r="67" customFormat="false" ht="15" hidden="false" customHeight="false" outlineLevel="0" collapsed="false">
      <c r="B67" s="7" t="s">
        <v>345</v>
      </c>
      <c r="C67" s="31" t="n">
        <f aca="false">'Model - NA'!C67+'Model - INTL'!C67+'Model - OTHER'!C67</f>
        <v>1485.4</v>
      </c>
      <c r="D67" s="31" t="n">
        <f aca="false">'Model - NA'!D67+'Model - INTL'!D67+'Model - OTHER'!D67</f>
        <v>1529.962</v>
      </c>
      <c r="E67" s="31" t="n">
        <f aca="false">'Model - NA'!E67+'Model - INTL'!E67+'Model - OTHER'!E67</f>
        <v>1590.526</v>
      </c>
      <c r="F67" s="31" t="n">
        <f aca="false">'Model - NA'!F67+'Model - INTL'!F67+'Model - OTHER'!F67</f>
        <v>1653.4935256</v>
      </c>
      <c r="G67" s="31" t="n">
        <f aca="false">'Model - NA'!G67+'Model - INTL'!G67+'Model - OTHER'!G67</f>
        <v>1718.960146792</v>
      </c>
      <c r="H67" s="31" t="n">
        <f aca="false">'Model - NA'!H67+'Model - INTL'!H67+'Model - OTHER'!H67</f>
        <v>1787.02523923672</v>
      </c>
      <c r="I67" s="31" t="n">
        <f aca="false">'Model - NA'!I67+'Model - INTL'!I67+'Model - OTHER'!I67</f>
        <v>1857.79213597642</v>
      </c>
      <c r="J67" s="31" t="n">
        <f aca="false">'Model - NA'!J67+'Model - INTL'!J67+'Model - OTHER'!J67</f>
        <v>1931.36828520081</v>
      </c>
      <c r="K67" s="31" t="n">
        <f aca="false">'Model - NA'!K67+'Model - INTL'!K67+'Model - OTHER'!K67</f>
        <v>2007.86541430775</v>
      </c>
      <c r="L67" s="31" t="n">
        <f aca="false">'Model - NA'!L67+'Model - INTL'!L67+'Model - OTHER'!L67</f>
        <v>2087.39970050992</v>
      </c>
      <c r="M67" s="31" t="n">
        <f aca="false">'Model - NA'!M67+'Model - INTL'!M67+'Model - OTHER'!M67</f>
        <v>2170.09194824908</v>
      </c>
      <c r="N67" s="10" t="s">
        <v>282</v>
      </c>
      <c r="O67" s="10" t="s">
        <v>346</v>
      </c>
    </row>
    <row r="68" customFormat="false" ht="15" hidden="false" customHeight="false" outlineLevel="0" collapsed="false">
      <c r="B68" s="7" t="s">
        <v>347</v>
      </c>
      <c r="C68" s="31" t="n">
        <f aca="false">'Model - NA'!C68+'Model - INTL'!C68+'Model - OTHER'!C68</f>
        <v>801</v>
      </c>
      <c r="D68" s="31" t="n">
        <f aca="false">'Model - NA'!D68+'Model - INTL'!D68+'Model - OTHER'!D68</f>
        <v>814.748417271087</v>
      </c>
      <c r="E68" s="31" t="n">
        <f aca="false">'Model - NA'!E68+'Model - INTL'!E68+'Model - OTHER'!E68</f>
        <v>832.929640767371</v>
      </c>
      <c r="F68" s="31" t="n">
        <f aca="false">'Model - NA'!F68+'Model - INTL'!F68+'Model - OTHER'!F68</f>
        <v>844.321869697145</v>
      </c>
      <c r="G68" s="31" t="n">
        <f aca="false">'Model - NA'!G68+'Model - INTL'!G68+'Model - OTHER'!G68</f>
        <v>858.868097112991</v>
      </c>
      <c r="H68" s="31" t="n">
        <f aca="false">'Model - NA'!H68+'Model - INTL'!H68+'Model - OTHER'!H68</f>
        <v>876.069486379406</v>
      </c>
      <c r="I68" s="31" t="n">
        <f aca="false">'Model - NA'!I68+'Model - INTL'!I68+'Model - OTHER'!I68</f>
        <v>895.175980028578</v>
      </c>
      <c r="J68" s="31" t="n">
        <f aca="false">'Model - NA'!J68+'Model - INTL'!J68+'Model - OTHER'!J68</f>
        <v>915.579599620409</v>
      </c>
      <c r="K68" s="31" t="n">
        <f aca="false">'Model - NA'!K68+'Model - INTL'!K68+'Model - OTHER'!K68</f>
        <v>936.542027405913</v>
      </c>
      <c r="L68" s="31" t="n">
        <f aca="false">'Model - NA'!L68+'Model - INTL'!L68+'Model - OTHER'!L68</f>
        <v>958.081475452628</v>
      </c>
      <c r="M68" s="31" t="n">
        <f aca="false">'Model - NA'!M68+'Model - INTL'!M68+'Model - OTHER'!M68</f>
        <v>980.216821390088</v>
      </c>
      <c r="N68" s="10" t="s">
        <v>282</v>
      </c>
      <c r="O68" s="10" t="s">
        <v>348</v>
      </c>
    </row>
    <row r="69" customFormat="false" ht="15" hidden="false" customHeight="false" outlineLevel="0" collapsed="false">
      <c r="B69" s="7" t="s">
        <v>349</v>
      </c>
      <c r="C69" s="31" t="n">
        <f aca="false">'Model - NA'!C69+'Model - INTL'!C69+'Model - OTHER'!C69</f>
        <v>39.6</v>
      </c>
      <c r="D69" s="31" t="n">
        <f aca="false">'Model - NA'!D69+'Model - INTL'!D69+'Model - OTHER'!D69</f>
        <v>40.392</v>
      </c>
      <c r="E69" s="31" t="n">
        <f aca="false">'Model - NA'!E69+'Model - INTL'!E69+'Model - OTHER'!E69</f>
        <v>41.19984</v>
      </c>
      <c r="F69" s="31" t="n">
        <f aca="false">'Model - NA'!F69+'Model - INTL'!F69+'Model - OTHER'!F69</f>
        <v>42.0238368</v>
      </c>
      <c r="G69" s="31" t="n">
        <f aca="false">'Model - NA'!G69+'Model - INTL'!G69+'Model - OTHER'!G69</f>
        <v>42.864313536</v>
      </c>
      <c r="H69" s="31" t="n">
        <f aca="false">'Model - NA'!H69+'Model - INTL'!H69+'Model - OTHER'!H69</f>
        <v>43.72159980672</v>
      </c>
      <c r="I69" s="31" t="n">
        <f aca="false">'Model - NA'!I69+'Model - INTL'!I69+'Model - OTHER'!I69</f>
        <v>44.5960318028544</v>
      </c>
      <c r="J69" s="31" t="n">
        <f aca="false">'Model - NA'!J69+'Model - INTL'!J69+'Model - OTHER'!J69</f>
        <v>45.4879524389115</v>
      </c>
      <c r="K69" s="31" t="n">
        <f aca="false">'Model - NA'!K69+'Model - INTL'!K69+'Model - OTHER'!K69</f>
        <v>46.3977114876897</v>
      </c>
      <c r="L69" s="31" t="n">
        <f aca="false">'Model - NA'!L69+'Model - INTL'!L69+'Model - OTHER'!L69</f>
        <v>47.3256657174435</v>
      </c>
      <c r="M69" s="31" t="n">
        <f aca="false">'Model - NA'!M69+'Model - INTL'!M69+'Model - OTHER'!M69</f>
        <v>48.2721790317924</v>
      </c>
      <c r="N69" s="10" t="s">
        <v>282</v>
      </c>
      <c r="O69" s="10" t="s">
        <v>350</v>
      </c>
    </row>
    <row r="70" customFormat="false" ht="15" hidden="false" customHeight="false" outlineLevel="0" collapsed="false">
      <c r="B70" s="3" t="s">
        <v>351</v>
      </c>
      <c r="C70" s="27" t="n">
        <f aca="false">SUM(C66:C69)</f>
        <v>6813.6</v>
      </c>
      <c r="D70" s="27" t="n">
        <f aca="false">SUM(D66:D69)</f>
        <v>6831.52585283845</v>
      </c>
      <c r="E70" s="27" t="n">
        <f aca="false">SUM(E66:E69)</f>
        <v>6901.31298029178</v>
      </c>
      <c r="F70" s="27" t="n">
        <f aca="false">SUM(F66:F69)</f>
        <v>6995.80460490778</v>
      </c>
      <c r="G70" s="27" t="n">
        <f aca="false">SUM(G66:G69)</f>
        <v>7116.00164124695</v>
      </c>
      <c r="H70" s="27" t="n">
        <f aca="false">SUM(H66:H69)</f>
        <v>7257.84239803214</v>
      </c>
      <c r="I70" s="27" t="n">
        <f aca="false">SUM(I66:I69)</f>
        <v>7415.35868342749</v>
      </c>
      <c r="J70" s="27" t="n">
        <f aca="false">SUM(J66:J69)</f>
        <v>7583.60843448736</v>
      </c>
      <c r="K70" s="27" t="n">
        <f aca="false">SUM(K66:K69)</f>
        <v>7756.4438166862</v>
      </c>
      <c r="L70" s="27" t="n">
        <f aca="false">SUM(L66:L69)</f>
        <v>7934.01374503389</v>
      </c>
      <c r="M70" s="27" t="n">
        <f aca="false">SUM(M66:M69)</f>
        <v>8116.47256602328</v>
      </c>
      <c r="N70" s="10" t="s">
        <v>282</v>
      </c>
      <c r="O70" s="10" t="s">
        <v>352</v>
      </c>
    </row>
    <row r="71" customFormat="false" ht="15" hidden="false" customHeight="false" outlineLevel="0" collapsed="false">
      <c r="B71" s="7" t="s">
        <v>353</v>
      </c>
      <c r="D71" s="20" t="n">
        <f aca="false">IF(C70=0,0,D70/C70-1)</f>
        <v>0.00263089304309805</v>
      </c>
      <c r="E71" s="20" t="n">
        <f aca="false">IF(D70=0,0,E70/D70-1)</f>
        <v>0.0102154524416143</v>
      </c>
      <c r="F71" s="20" t="n">
        <f aca="false">IF(E70=0,0,F70/E70-1)</f>
        <v>0.0136918329723406</v>
      </c>
      <c r="G71" s="20" t="n">
        <f aca="false">IF(F70=0,0,G70/F70-1)</f>
        <v>0.0171813026702956</v>
      </c>
      <c r="H71" s="20" t="n">
        <f aca="false">IF(G70=0,0,H70/G70-1)</f>
        <v>0.019932648126868</v>
      </c>
      <c r="I71" s="20" t="n">
        <f aca="false">IF(H70=0,0,I70/H70-1)</f>
        <v>0.0217029079383233</v>
      </c>
      <c r="J71" s="20" t="n">
        <f aca="false">IF(I70=0,0,J70/I70-1)</f>
        <v>0.0226893611277201</v>
      </c>
      <c r="K71" s="20" t="n">
        <f aca="false">IF(J70=0,0,K70/J70-1)</f>
        <v>0.0227906521930716</v>
      </c>
      <c r="L71" s="20" t="n">
        <f aca="false">IF(K70=0,0,L70/K70-1)</f>
        <v>0.0228932140223448</v>
      </c>
      <c r="M71" s="20" t="n">
        <f aca="false">IF(L70=0,0,M70/L70-1)</f>
        <v>0.022997038680906</v>
      </c>
      <c r="N71" s="10" t="s">
        <v>354</v>
      </c>
      <c r="O71" s="10"/>
    </row>
    <row r="72" customFormat="false" ht="15" hidden="false" customHeight="false" outlineLevel="0" collapsed="false">
      <c r="B72" s="7" t="s">
        <v>355</v>
      </c>
      <c r="C72" s="31" t="n">
        <f aca="false">'Model - NA'!C72+'Model - INTL'!C72+'Model - OTHER'!C72</f>
        <v>4119</v>
      </c>
      <c r="D72" s="31" t="n">
        <f aca="false">'Model - NA'!D72+'Model - INTL'!D72+'Model - OTHER'!D72</f>
        <v>4100.07603118232</v>
      </c>
      <c r="E72" s="31" t="n">
        <f aca="false">'Model - NA'!E72+'Model - INTL'!E72+'Model - OTHER'!E72</f>
        <v>4142.20081686346</v>
      </c>
      <c r="F72" s="31" t="n">
        <f aca="false">'Model - NA'!F72+'Model - INTL'!F72+'Model - OTHER'!F72</f>
        <v>4198.9248448197</v>
      </c>
      <c r="G72" s="31" t="n">
        <f aca="false">'Model - NA'!G72+'Model - INTL'!G72+'Model - OTHER'!G72</f>
        <v>4270.90054448974</v>
      </c>
      <c r="H72" s="31" t="n">
        <f aca="false">'Model - NA'!H72+'Model - INTL'!H72+'Model - OTHER'!H72</f>
        <v>4355.71941020089</v>
      </c>
      <c r="I72" s="31" t="n">
        <f aca="false">'Model - NA'!I72+'Model - INTL'!I72+'Model - OTHER'!I72</f>
        <v>4449.90731293694</v>
      </c>
      <c r="J72" s="31" t="n">
        <f aca="false">'Model - NA'!J72+'Model - INTL'!J72+'Model - OTHER'!J72</f>
        <v>4550.53758312227</v>
      </c>
      <c r="K72" s="31" t="n">
        <f aca="false">'Model - NA'!K72+'Model - INTL'!K72+'Model - OTHER'!K72</f>
        <v>4653.90113038707</v>
      </c>
      <c r="L72" s="31" t="n">
        <f aca="false">'Model - NA'!L72+'Model - INTL'!L72+'Model - OTHER'!L72</f>
        <v>4760.08649930603</v>
      </c>
      <c r="M72" s="31" t="n">
        <f aca="false">'Model - NA'!M72+'Model - INTL'!M72+'Model - OTHER'!M72</f>
        <v>4869.18545988296</v>
      </c>
      <c r="N72" s="10" t="s">
        <v>282</v>
      </c>
      <c r="O72" s="10" t="s">
        <v>356</v>
      </c>
    </row>
    <row r="73" customFormat="false" ht="15" hidden="false" customHeight="false" outlineLevel="0" collapsed="false">
      <c r="B73" s="3" t="s">
        <v>357</v>
      </c>
      <c r="C73" s="27" t="n">
        <f aca="false">C70-C72</f>
        <v>2694.6</v>
      </c>
      <c r="D73" s="27" t="n">
        <f aca="false">D70-D72</f>
        <v>2731.44982165613</v>
      </c>
      <c r="E73" s="27" t="n">
        <f aca="false">E70-E72</f>
        <v>2759.11216342832</v>
      </c>
      <c r="F73" s="27" t="n">
        <f aca="false">F70-F72</f>
        <v>2796.87976008808</v>
      </c>
      <c r="G73" s="27" t="n">
        <f aca="false">G70-G72</f>
        <v>2845.10109675722</v>
      </c>
      <c r="H73" s="27" t="n">
        <f aca="false">H70-H72</f>
        <v>2902.12298783125</v>
      </c>
      <c r="I73" s="27" t="n">
        <f aca="false">I70-I72</f>
        <v>2965.45137049055</v>
      </c>
      <c r="J73" s="27" t="n">
        <f aca="false">J70-J72</f>
        <v>3033.07085136508</v>
      </c>
      <c r="K73" s="27" t="n">
        <f aca="false">K70-K72</f>
        <v>3102.54268629913</v>
      </c>
      <c r="L73" s="27" t="n">
        <f aca="false">L70-L72</f>
        <v>3173.92724572786</v>
      </c>
      <c r="M73" s="27" t="n">
        <f aca="false">M70-M72</f>
        <v>3247.28710614032</v>
      </c>
      <c r="N73" s="10" t="s">
        <v>282</v>
      </c>
      <c r="O73" s="10"/>
    </row>
    <row r="74" customFormat="false" ht="15" hidden="false" customHeight="false" outlineLevel="0" collapsed="false">
      <c r="B74" s="7" t="s">
        <v>358</v>
      </c>
      <c r="C74" s="20" t="n">
        <f aca="false">IF(C70=0,0,C73/C70)</f>
        <v>0.395473758365622</v>
      </c>
      <c r="D74" s="20" t="n">
        <f aca="false">IF(D70=0,0,D73/D70)</f>
        <v>0.399830122947019</v>
      </c>
      <c r="E74" s="20" t="n">
        <f aca="false">IF(E70=0,0,E73/E70)</f>
        <v>0.399795252194412</v>
      </c>
      <c r="F74" s="20" t="n">
        <f aca="false">IF(F70=0,0,F73/F70)</f>
        <v>0.399793864758026</v>
      </c>
      <c r="G74" s="20" t="n">
        <f aca="false">IF(G70=0,0,G73/G70)</f>
        <v>0.399817375008174</v>
      </c>
      <c r="H74" s="20" t="n">
        <f aca="false">IF(H70=0,0,H73/H70)</f>
        <v>0.399860293000868</v>
      </c>
      <c r="I74" s="20" t="n">
        <f aca="false">IF(I70=0,0,I73/I70)</f>
        <v>0.399906666297614</v>
      </c>
      <c r="J74" s="20" t="n">
        <f aca="false">IF(J70=0,0,J73/J70)</f>
        <v>0.3999508779451</v>
      </c>
      <c r="K74" s="20" t="n">
        <f aca="false">IF(K70=0,0,K73/K70)</f>
        <v>0.399995508202448</v>
      </c>
      <c r="L74" s="20" t="n">
        <f aca="false">IF(L70=0,0,L73/L70)</f>
        <v>0.400040552956504</v>
      </c>
      <c r="M74" s="20" t="n">
        <f aca="false">IF(M70=0,0,M73/M70)</f>
        <v>0.400086007773122</v>
      </c>
      <c r="N74" s="10" t="s">
        <v>354</v>
      </c>
      <c r="O74" s="10"/>
    </row>
    <row r="75" customFormat="false" ht="15" hidden="false" customHeight="false" outlineLevel="0" collapsed="false">
      <c r="B75" s="7" t="s">
        <v>359</v>
      </c>
      <c r="C75" s="31" t="n">
        <f aca="false">'Model - NA'!C75+'Model - INTL'!C75+'Model - OTHER'!C75</f>
        <v>1334.3</v>
      </c>
      <c r="D75" s="31" t="n">
        <f aca="false">'Model - NA'!D75+'Model - INTL'!D75+'Model - OTHER'!D75</f>
        <v>1337.66756571188</v>
      </c>
      <c r="E75" s="31" t="n">
        <f aca="false">'Model - NA'!E75+'Model - INTL'!E75+'Model - OTHER'!E75</f>
        <v>1351.18936836271</v>
      </c>
      <c r="F75" s="31" t="n">
        <f aca="false">'Model - NA'!F75+'Model - INTL'!F75+'Model - OTHER'!F75</f>
        <v>1369.68091254352</v>
      </c>
      <c r="G75" s="31" t="n">
        <f aca="false">'Model - NA'!G75+'Model - INTL'!G75+'Model - OTHER'!G75</f>
        <v>1393.3085341031</v>
      </c>
      <c r="H75" s="31" t="n">
        <f aca="false">'Model - NA'!H75+'Model - INTL'!H75+'Model - OTHER'!H75</f>
        <v>1421.25984640886</v>
      </c>
      <c r="I75" s="31" t="n">
        <f aca="false">'Model - NA'!I75+'Model - INTL'!I75+'Model - OTHER'!I75</f>
        <v>1452.30384568993</v>
      </c>
      <c r="J75" s="31" t="n">
        <f aca="false">'Model - NA'!J75+'Model - INTL'!J75+'Model - OTHER'!J75</f>
        <v>1485.44983145351</v>
      </c>
      <c r="K75" s="31" t="n">
        <f aca="false">'Model - NA'!K75+'Model - INTL'!K75+'Model - OTHER'!K75</f>
        <v>1519.50468343299</v>
      </c>
      <c r="L75" s="31" t="n">
        <f aca="false">'Model - NA'!L75+'Model - INTL'!L75+'Model - OTHER'!L75</f>
        <v>1554.49804355793</v>
      </c>
      <c r="M75" s="31" t="n">
        <f aca="false">'Model - NA'!M75+'Model - INTL'!M75+'Model - OTHER'!M75</f>
        <v>1590.46063734786</v>
      </c>
      <c r="N75" s="10" t="s">
        <v>282</v>
      </c>
      <c r="O75" s="10"/>
    </row>
    <row r="76" customFormat="false" ht="15" hidden="false" customHeight="false" outlineLevel="0" collapsed="false">
      <c r="B76" s="7" t="s">
        <v>360</v>
      </c>
      <c r="C76" s="31" t="n">
        <f aca="false">'Model - NA'!C76+'Model - INTL'!C76+'Model - OTHER'!C76</f>
        <v>838.9</v>
      </c>
      <c r="D76" s="31" t="n">
        <f aca="false">'Model - NA'!D76+'Model - INTL'!D76+'Model - OTHER'!D76</f>
        <v>860.1295</v>
      </c>
      <c r="E76" s="31" t="n">
        <f aca="false">'Model - NA'!E76+'Model - INTL'!E76+'Model - OTHER'!E76</f>
        <v>880.0183625</v>
      </c>
      <c r="F76" s="31" t="n">
        <f aca="false">'Model - NA'!F76+'Model - INTL'!F76+'Model - OTHER'!F76</f>
        <v>898.4444825625</v>
      </c>
      <c r="G76" s="31" t="n">
        <f aca="false">'Model - NA'!G76+'Model - INTL'!G76+'Model - OTHER'!G76</f>
        <v>916.41337221375</v>
      </c>
      <c r="H76" s="31" t="n">
        <f aca="false">'Model - NA'!H76+'Model - INTL'!H76+'Model - OTHER'!H76</f>
        <v>934.741639658025</v>
      </c>
      <c r="I76" s="31" t="n">
        <f aca="false">'Model - NA'!I76+'Model - INTL'!I76+'Model - OTHER'!I76</f>
        <v>953.436472451185</v>
      </c>
      <c r="J76" s="31" t="n">
        <f aca="false">'Model - NA'!J76+'Model - INTL'!J76+'Model - OTHER'!J76</f>
        <v>972.505201900209</v>
      </c>
      <c r="K76" s="31" t="n">
        <f aca="false">'Model - NA'!K76+'Model - INTL'!K76+'Model - OTHER'!K76</f>
        <v>991.955305938213</v>
      </c>
      <c r="L76" s="31" t="n">
        <f aca="false">'Model - NA'!L76+'Model - INTL'!L76+'Model - OTHER'!L76</f>
        <v>1011.79441205698</v>
      </c>
      <c r="M76" s="31" t="n">
        <f aca="false">'Model - NA'!M76+'Model - INTL'!M76+'Model - OTHER'!M76</f>
        <v>1032.03030029812</v>
      </c>
      <c r="N76" s="10" t="s">
        <v>282</v>
      </c>
      <c r="O76" s="10" t="s">
        <v>361</v>
      </c>
    </row>
    <row r="77" customFormat="false" ht="15" hidden="false" customHeight="false" outlineLevel="0" collapsed="false">
      <c r="B77" s="7" t="s">
        <v>362</v>
      </c>
      <c r="C77" s="22" t="n">
        <f aca="false">C75+C76</f>
        <v>2173.2</v>
      </c>
      <c r="D77" s="22" t="n">
        <f aca="false">D75+D76</f>
        <v>2197.79706571188</v>
      </c>
      <c r="E77" s="22" t="n">
        <f aca="false">E75+E76</f>
        <v>2231.20773086271</v>
      </c>
      <c r="F77" s="22" t="n">
        <f aca="false">F75+F76</f>
        <v>2268.12539510602</v>
      </c>
      <c r="G77" s="22" t="n">
        <f aca="false">G75+G76</f>
        <v>2309.72190631685</v>
      </c>
      <c r="H77" s="22" t="n">
        <f aca="false">H75+H76</f>
        <v>2356.00148606689</v>
      </c>
      <c r="I77" s="22" t="n">
        <f aca="false">I75+I76</f>
        <v>2405.74031814111</v>
      </c>
      <c r="J77" s="22" t="n">
        <f aca="false">J75+J76</f>
        <v>2457.95503335372</v>
      </c>
      <c r="K77" s="22" t="n">
        <f aca="false">K75+K76</f>
        <v>2511.45998937121</v>
      </c>
      <c r="L77" s="22" t="n">
        <f aca="false">L75+L76</f>
        <v>2566.29245561491</v>
      </c>
      <c r="M77" s="22" t="n">
        <f aca="false">M75+M76</f>
        <v>2622.49093764598</v>
      </c>
      <c r="N77" s="10" t="s">
        <v>282</v>
      </c>
      <c r="O77" s="10"/>
    </row>
    <row r="78" customFormat="false" ht="15" hidden="false" customHeight="false" outlineLevel="0" collapsed="false">
      <c r="B78" s="7" t="s">
        <v>363</v>
      </c>
      <c r="C78" s="20" t="n">
        <f aca="false">IF(C70=0,0,C77/C70)</f>
        <v>0.318950334624868</v>
      </c>
      <c r="D78" s="20" t="n">
        <f aca="false">IF(D70=0,0,D77/D70)</f>
        <v>0.32171393522557</v>
      </c>
      <c r="E78" s="20" t="n">
        <f aca="false">IF(E70=0,0,E77/E70)</f>
        <v>0.323301919103569</v>
      </c>
      <c r="F78" s="20" t="n">
        <f aca="false">IF(F70=0,0,F77/F70)</f>
        <v>0.324212227642101</v>
      </c>
      <c r="G78" s="20" t="n">
        <f aca="false">IF(G70=0,0,G77/G70)</f>
        <v>0.324581418437125</v>
      </c>
      <c r="H78" s="20" t="n">
        <f aca="false">IF(H70=0,0,H77/H70)</f>
        <v>0.324614583351339</v>
      </c>
      <c r="I78" s="20" t="n">
        <f aca="false">IF(I70=0,0,I77/I70)</f>
        <v>0.324426696110827</v>
      </c>
      <c r="J78" s="20" t="n">
        <f aca="false">IF(J70=0,0,J77/J70)</f>
        <v>0.324114180549708</v>
      </c>
      <c r="K78" s="20" t="n">
        <f aca="false">IF(K70=0,0,K77/K70)</f>
        <v>0.32379013485128</v>
      </c>
      <c r="L78" s="20" t="n">
        <f aca="false">IF(L70=0,0,L77/L70)</f>
        <v>0.323454500847218</v>
      </c>
      <c r="M78" s="20" t="n">
        <f aca="false">IF(M70=0,0,M77/M70)</f>
        <v>0.323107226238169</v>
      </c>
      <c r="N78" s="10" t="s">
        <v>354</v>
      </c>
      <c r="O78" s="10"/>
    </row>
    <row r="79" customFormat="false" ht="15" hidden="false" customHeight="false" outlineLevel="0" collapsed="false">
      <c r="B79" s="7" t="s">
        <v>364</v>
      </c>
      <c r="C79" s="31" t="n">
        <f aca="false">'Model - NA'!C79+'Model - INTL'!C79+'Model - OTHER'!C79</f>
        <v>-128.3</v>
      </c>
      <c r="D79" s="31" t="n">
        <f aca="false">'Model - NA'!D79+'Model - INTL'!D79+'Model - OTHER'!D79</f>
        <v>30</v>
      </c>
      <c r="E79" s="31" t="n">
        <f aca="false">'Model - NA'!E79+'Model - INTL'!E79+'Model - OTHER'!E79</f>
        <v>0</v>
      </c>
      <c r="F79" s="31" t="n">
        <f aca="false">'Model - NA'!F79+'Model - INTL'!F79+'Model - OTHER'!F79</f>
        <v>0</v>
      </c>
      <c r="G79" s="31" t="n">
        <f aca="false">'Model - NA'!G79+'Model - INTL'!G79+'Model - OTHER'!G79</f>
        <v>0</v>
      </c>
      <c r="H79" s="31" t="n">
        <f aca="false">'Model - NA'!H79+'Model - INTL'!H79+'Model - OTHER'!H79</f>
        <v>0</v>
      </c>
      <c r="I79" s="31" t="n">
        <f aca="false">'Model - NA'!I79+'Model - INTL'!I79+'Model - OTHER'!I79</f>
        <v>0</v>
      </c>
      <c r="J79" s="31" t="n">
        <f aca="false">'Model - NA'!J79+'Model - INTL'!J79+'Model - OTHER'!J79</f>
        <v>0</v>
      </c>
      <c r="K79" s="31" t="n">
        <f aca="false">'Model - NA'!K79+'Model - INTL'!K79+'Model - OTHER'!K79</f>
        <v>0</v>
      </c>
      <c r="L79" s="31" t="n">
        <f aca="false">'Model - NA'!L79+'Model - INTL'!L79+'Model - OTHER'!L79</f>
        <v>0</v>
      </c>
      <c r="M79" s="31" t="n">
        <f aca="false">'Model - NA'!M79+'Model - INTL'!M79+'Model - OTHER'!M79</f>
        <v>0</v>
      </c>
      <c r="N79" s="10" t="s">
        <v>282</v>
      </c>
      <c r="O79" s="10" t="s">
        <v>365</v>
      </c>
    </row>
    <row r="80" customFormat="false" ht="15" hidden="false" customHeight="false" outlineLevel="0" collapsed="false">
      <c r="B80" s="3" t="s">
        <v>366</v>
      </c>
      <c r="C80" s="27" t="n">
        <f aca="false">C73-C77+C79</f>
        <v>393.100000000001</v>
      </c>
      <c r="D80" s="27" t="n">
        <f aca="false">D73-D77+D79</f>
        <v>563.652755944258</v>
      </c>
      <c r="E80" s="27" t="n">
        <f aca="false">E73-E77+E79</f>
        <v>527.904432565617</v>
      </c>
      <c r="F80" s="27" t="n">
        <f aca="false">F73-F77+F79</f>
        <v>528.754364982063</v>
      </c>
      <c r="G80" s="27" t="n">
        <f aca="false">G73-G77+G79</f>
        <v>535.379190440368</v>
      </c>
      <c r="H80" s="27" t="n">
        <f aca="false">H73-H77+H79</f>
        <v>546.121501764369</v>
      </c>
      <c r="I80" s="27" t="n">
        <f aca="false">I73-I77+I79</f>
        <v>559.711052349442</v>
      </c>
      <c r="J80" s="27" t="n">
        <f aca="false">J73-J77+J79</f>
        <v>575.115818011363</v>
      </c>
      <c r="K80" s="27" t="n">
        <f aca="false">K73-K77+K79</f>
        <v>591.082696927929</v>
      </c>
      <c r="L80" s="27" t="n">
        <f aca="false">L73-L77+L79</f>
        <v>607.634790112955</v>
      </c>
      <c r="M80" s="27" t="n">
        <f aca="false">M73-M77+M79</f>
        <v>624.79616849434</v>
      </c>
      <c r="N80" s="10" t="s">
        <v>282</v>
      </c>
      <c r="O80" s="10" t="s">
        <v>367</v>
      </c>
    </row>
    <row r="81" customFormat="false" ht="15" hidden="false" customHeight="false" outlineLevel="0" collapsed="false">
      <c r="B81" s="7" t="s">
        <v>368</v>
      </c>
      <c r="C81" s="20" t="n">
        <f aca="false">IF(C70=0,0,C80/C70)</f>
        <v>0.0576934366560996</v>
      </c>
      <c r="D81" s="20" t="n">
        <f aca="false">IF(D70=0,0,D80/D70)</f>
        <v>0.0825075931916533</v>
      </c>
      <c r="E81" s="20" t="n">
        <f aca="false">IF(E70=0,0,E80/E70)</f>
        <v>0.0764933330908429</v>
      </c>
      <c r="F81" s="20" t="n">
        <f aca="false">IF(F70=0,0,F80/F70)</f>
        <v>0.0755816371159259</v>
      </c>
      <c r="G81" s="20" t="n">
        <f aca="false">IF(G70=0,0,G80/G70)</f>
        <v>0.0752359565710488</v>
      </c>
      <c r="H81" s="20" t="n">
        <f aca="false">IF(H70=0,0,H80/H70)</f>
        <v>0.0752457096495292</v>
      </c>
      <c r="I81" s="20" t="n">
        <f aca="false">IF(I70=0,0,I80/I70)</f>
        <v>0.0754799701867874</v>
      </c>
      <c r="J81" s="20" t="n">
        <f aca="false">IF(J70=0,0,J80/J70)</f>
        <v>0.0758366973953923</v>
      </c>
      <c r="K81" s="20" t="n">
        <f aca="false">IF(K70=0,0,K80/K70)</f>
        <v>0.0762053733511678</v>
      </c>
      <c r="L81" s="20" t="n">
        <f aca="false">IF(L70=0,0,L80/L70)</f>
        <v>0.0765860521092857</v>
      </c>
      <c r="M81" s="20" t="n">
        <f aca="false">IF(M70=0,0,M80/M70)</f>
        <v>0.0769787815349524</v>
      </c>
      <c r="N81" s="10" t="s">
        <v>354</v>
      </c>
      <c r="O81" s="10"/>
    </row>
    <row r="82" customFormat="false" ht="15" hidden="false" customHeight="false" outlineLevel="0" collapsed="false">
      <c r="B82" s="7" t="s">
        <v>369</v>
      </c>
      <c r="C82" s="31" t="n">
        <f aca="false">'Model - NA'!C82+'Model - INTL'!C82+'Model - OTHER'!C82</f>
        <v>5</v>
      </c>
      <c r="D82" s="31" t="n">
        <f aca="false">'Model - NA'!D82+'Model - INTL'!D82+'Model - OTHER'!D82</f>
        <v>6.1236</v>
      </c>
      <c r="E82" s="31" t="n">
        <f aca="false">'Model - NA'!E82+'Model - INTL'!E82+'Model - OTHER'!E82</f>
        <v>6.1236</v>
      </c>
      <c r="F82" s="31" t="n">
        <f aca="false">'Model - NA'!F82+'Model - INTL'!F82+'Model - OTHER'!F82</f>
        <v>6.1236</v>
      </c>
      <c r="G82" s="31" t="n">
        <f aca="false">'Model - NA'!G82+'Model - INTL'!G82+'Model - OTHER'!G82</f>
        <v>6.1236</v>
      </c>
      <c r="H82" s="31" t="n">
        <f aca="false">'Model - NA'!H82+'Model - INTL'!H82+'Model - OTHER'!H82</f>
        <v>6.1236</v>
      </c>
      <c r="I82" s="31" t="n">
        <f aca="false">'Model - NA'!I82+'Model - INTL'!I82+'Model - OTHER'!I82</f>
        <v>6.1236</v>
      </c>
      <c r="J82" s="31" t="n">
        <f aca="false">'Model - NA'!J82+'Model - INTL'!J82+'Model - OTHER'!J82</f>
        <v>6.1236</v>
      </c>
      <c r="K82" s="31" t="n">
        <f aca="false">'Model - NA'!K82+'Model - INTL'!K82+'Model - OTHER'!K82</f>
        <v>6.1236</v>
      </c>
      <c r="L82" s="31" t="n">
        <f aca="false">'Model - NA'!L82+'Model - INTL'!L82+'Model - OTHER'!L82</f>
        <v>6.1236</v>
      </c>
      <c r="M82" s="31" t="n">
        <f aca="false">'Model - NA'!M82+'Model - INTL'!M82+'Model - OTHER'!M82</f>
        <v>6.1236</v>
      </c>
      <c r="N82" s="10" t="s">
        <v>282</v>
      </c>
      <c r="O82" s="10" t="s">
        <v>370</v>
      </c>
    </row>
    <row r="83" customFormat="false" ht="15" hidden="false" customHeight="false" outlineLevel="0" collapsed="false">
      <c r="B83" s="7" t="s">
        <v>371</v>
      </c>
      <c r="C83" s="31" t="n">
        <f aca="false">'Model - NA'!C83+'Model - INTL'!C83+'Model - OTHER'!C83</f>
        <v>0</v>
      </c>
      <c r="D83" s="31" t="n">
        <f aca="false">'Model - NA'!D83+'Model - INTL'!D83+'Model - OTHER'!D83</f>
        <v>0</v>
      </c>
      <c r="E83" s="31" t="n">
        <f aca="false">'Model - NA'!E83+'Model - INTL'!E83+'Model - OTHER'!E83</f>
        <v>0</v>
      </c>
      <c r="F83" s="31" t="n">
        <f aca="false">'Model - NA'!F83+'Model - INTL'!F83+'Model - OTHER'!F83</f>
        <v>0</v>
      </c>
      <c r="G83" s="31" t="n">
        <f aca="false">'Model - NA'!G83+'Model - INTL'!G83+'Model - OTHER'!G83</f>
        <v>0</v>
      </c>
      <c r="H83" s="31" t="n">
        <f aca="false">'Model - NA'!H83+'Model - INTL'!H83+'Model - OTHER'!H83</f>
        <v>0</v>
      </c>
      <c r="I83" s="31" t="n">
        <f aca="false">'Model - NA'!I83+'Model - INTL'!I83+'Model - OTHER'!I83</f>
        <v>0</v>
      </c>
      <c r="J83" s="31" t="n">
        <f aca="false">'Model - NA'!J83+'Model - INTL'!J83+'Model - OTHER'!J83</f>
        <v>0</v>
      </c>
      <c r="K83" s="31" t="n">
        <f aca="false">'Model - NA'!K83+'Model - INTL'!K83+'Model - OTHER'!K83</f>
        <v>0</v>
      </c>
      <c r="L83" s="31" t="n">
        <f aca="false">'Model - NA'!L83+'Model - INTL'!L83+'Model - OTHER'!L83</f>
        <v>0</v>
      </c>
      <c r="M83" s="31" t="n">
        <f aca="false">'Model - NA'!M83+'Model - INTL'!M83+'Model - OTHER'!M83</f>
        <v>0</v>
      </c>
      <c r="N83" s="10" t="s">
        <v>282</v>
      </c>
      <c r="O83" s="10"/>
    </row>
    <row r="84" customFormat="false" ht="15" hidden="false" customHeight="false" outlineLevel="0" collapsed="false">
      <c r="B84" s="3" t="s">
        <v>372</v>
      </c>
      <c r="C84" s="27" t="n">
        <f aca="false">C80+C82-C83</f>
        <v>398.100000000001</v>
      </c>
      <c r="D84" s="27" t="n">
        <f aca="false">D80+D82-D83</f>
        <v>569.776355944258</v>
      </c>
      <c r="E84" s="27" t="n">
        <f aca="false">E80+E82-E83</f>
        <v>534.028032565617</v>
      </c>
      <c r="F84" s="27" t="n">
        <f aca="false">F80+F82-F83</f>
        <v>534.877964982063</v>
      </c>
      <c r="G84" s="27" t="n">
        <f aca="false">G80+G82-G83</f>
        <v>541.502790440368</v>
      </c>
      <c r="H84" s="27" t="n">
        <f aca="false">H80+H82-H83</f>
        <v>552.245101764369</v>
      </c>
      <c r="I84" s="27" t="n">
        <f aca="false">I80+I82-I83</f>
        <v>565.834652349442</v>
      </c>
      <c r="J84" s="27" t="n">
        <f aca="false">J80+J82-J83</f>
        <v>581.239418011363</v>
      </c>
      <c r="K84" s="27" t="n">
        <f aca="false">K80+K82-K83</f>
        <v>597.206296927929</v>
      </c>
      <c r="L84" s="27" t="n">
        <f aca="false">L80+L82-L83</f>
        <v>613.758390112955</v>
      </c>
      <c r="M84" s="27" t="n">
        <f aca="false">M80+M82-M83</f>
        <v>630.91976849434</v>
      </c>
      <c r="N84" s="10" t="s">
        <v>282</v>
      </c>
      <c r="O84" s="10"/>
    </row>
    <row r="85" customFormat="false" ht="15" hidden="false" customHeight="false" outlineLevel="0" collapsed="false">
      <c r="B85" s="7" t="s">
        <v>373</v>
      </c>
      <c r="C85" s="20" t="n">
        <f aca="false">IF(C70=0,0,C84/C70)</f>
        <v>0.0584272631208173</v>
      </c>
      <c r="D85" s="20" t="n">
        <f aca="false">IF(D70=0,0,D84/D70)</f>
        <v>0.0834039668762315</v>
      </c>
      <c r="E85" s="20" t="n">
        <f aca="false">IF(E70=0,0,E84/E70)</f>
        <v>0.0773806425082664</v>
      </c>
      <c r="F85" s="20" t="n">
        <f aca="false">IF(F70=0,0,F84/F70)</f>
        <v>0.0764569617348702</v>
      </c>
      <c r="G85" s="20" t="n">
        <f aca="false">IF(G70=0,0,G84/G70)</f>
        <v>0.0760964960015775</v>
      </c>
      <c r="H85" s="20" t="n">
        <f aca="false">IF(H70=0,0,H84/H70)</f>
        <v>0.0760894314698955</v>
      </c>
      <c r="I85" s="20" t="n">
        <f aca="false">IF(I70=0,0,I84/I70)</f>
        <v>0.0763057697551462</v>
      </c>
      <c r="J85" s="20" t="n">
        <f aca="false">IF(J70=0,0,J84/J70)</f>
        <v>0.0766441757947454</v>
      </c>
      <c r="K85" s="20" t="n">
        <f aca="false">IF(K70=0,0,K84/K70)</f>
        <v>0.0769948588608581</v>
      </c>
      <c r="L85" s="20" t="n">
        <f aca="false">IF(L70=0,0,L84/L70)</f>
        <v>0.0773578682665029</v>
      </c>
      <c r="M85" s="20" t="n">
        <f aca="false">IF(M70=0,0,M84/M70)</f>
        <v>0.0777332472157254</v>
      </c>
      <c r="N85" s="10" t="s">
        <v>354</v>
      </c>
      <c r="O85" s="10"/>
    </row>
    <row r="86" customFormat="false" ht="15" hidden="false" customHeight="false" outlineLevel="0" collapsed="false">
      <c r="B86" s="7" t="s">
        <v>374</v>
      </c>
      <c r="C86" s="31" t="n">
        <f aca="false">'Model - NA'!C86+'Model - INTL'!C86+'Model - OTHER'!C86</f>
        <v>103.7</v>
      </c>
      <c r="D86" s="31" t="n">
        <f aca="false">'Model - NA'!D86+'Model - INTL'!D86+'Model - OTHER'!D86</f>
        <v>136.91960739172</v>
      </c>
      <c r="E86" s="31" t="n">
        <f aca="false">'Model - NA'!E86+'Model - INTL'!E86+'Model - OTHER'!E86</f>
        <v>128.3360921454</v>
      </c>
      <c r="F86" s="31" t="n">
        <f aca="false">'Model - NA'!F86+'Model - INTL'!F86+'Model - OTHER'!F86</f>
        <v>128.537450182348</v>
      </c>
      <c r="G86" s="31" t="n">
        <f aca="false">'Model - NA'!G86+'Model - INTL'!G86+'Model - OTHER'!G86</f>
        <v>130.124623592418</v>
      </c>
      <c r="H86" s="31" t="n">
        <f aca="false">'Model - NA'!H86+'Model - INTL'!H86+'Model - OTHER'!H86</f>
        <v>132.699829715636</v>
      </c>
      <c r="I86" s="31" t="n">
        <f aca="false">'Model - NA'!I86+'Model - INTL'!I86+'Model - OTHER'!I86</f>
        <v>135.959473076455</v>
      </c>
      <c r="J86" s="31" t="n">
        <f aca="false">'Model - NA'!J86+'Model - INTL'!J86+'Model - OTHER'!J86</f>
        <v>139.655938810936</v>
      </c>
      <c r="K86" s="31" t="n">
        <f aca="false">'Model - NA'!K86+'Model - INTL'!K86+'Model - OTHER'!K86</f>
        <v>143.487236310624</v>
      </c>
      <c r="L86" s="31" t="n">
        <f aca="false">'Model - NA'!L86+'Model - INTL'!L86+'Model - OTHER'!L86</f>
        <v>147.458907490171</v>
      </c>
      <c r="M86" s="31" t="n">
        <f aca="false">'Model - NA'!M86+'Model - INTL'!M86+'Model - OTHER'!M86</f>
        <v>151.576726993129</v>
      </c>
      <c r="N86" s="10" t="s">
        <v>282</v>
      </c>
      <c r="O86" s="10" t="s">
        <v>375</v>
      </c>
    </row>
    <row r="87" customFormat="false" ht="15" hidden="false" customHeight="false" outlineLevel="0" collapsed="false">
      <c r="B87" s="3" t="s">
        <v>376</v>
      </c>
      <c r="C87" s="27" t="n">
        <f aca="false">C84-C86</f>
        <v>294.400000000001</v>
      </c>
      <c r="D87" s="27" t="n">
        <f aca="false">D84-D86</f>
        <v>432.856748552538</v>
      </c>
      <c r="E87" s="27" t="n">
        <f aca="false">E84-E86</f>
        <v>405.691940420217</v>
      </c>
      <c r="F87" s="27" t="n">
        <f aca="false">F84-F86</f>
        <v>406.340514799715</v>
      </c>
      <c r="G87" s="27" t="n">
        <f aca="false">G84-G86</f>
        <v>411.37816684795</v>
      </c>
      <c r="H87" s="27" t="n">
        <f aca="false">H84-H86</f>
        <v>419.545272048733</v>
      </c>
      <c r="I87" s="27" t="n">
        <f aca="false">I84-I86</f>
        <v>429.875179272987</v>
      </c>
      <c r="J87" s="27" t="n">
        <f aca="false">J84-J86</f>
        <v>441.583479200427</v>
      </c>
      <c r="K87" s="27" t="n">
        <f aca="false">K84-K86</f>
        <v>453.719060617305</v>
      </c>
      <c r="L87" s="27" t="n">
        <f aca="false">L84-L86</f>
        <v>466.299482622784</v>
      </c>
      <c r="M87" s="27" t="n">
        <f aca="false">M84-M86</f>
        <v>479.343041501211</v>
      </c>
      <c r="N87" s="10" t="s">
        <v>282</v>
      </c>
      <c r="O87" s="10"/>
    </row>
    <row r="88" customFormat="false" ht="15" hidden="false" customHeight="false" outlineLevel="0" collapsed="false">
      <c r="B88" s="7" t="s">
        <v>377</v>
      </c>
      <c r="C88" s="20" t="n">
        <f aca="false">IF(C70=0,0,C87/C70)</f>
        <v>0.0432077022425738</v>
      </c>
      <c r="D88" s="20" t="n">
        <f aca="false">IF(D70=0,0,D87/D70)</f>
        <v>0.0633616497802887</v>
      </c>
      <c r="E88" s="20" t="n">
        <f aca="false">IF(E70=0,0,E87/E70)</f>
        <v>0.0587847474210718</v>
      </c>
      <c r="F88" s="20" t="n">
        <f aca="false">IF(F70=0,0,F87/F70)</f>
        <v>0.0580834568356374</v>
      </c>
      <c r="G88" s="20" t="n">
        <f aca="false">IF(G70=0,0,G87/G70)</f>
        <v>0.0578102967913121</v>
      </c>
      <c r="H88" s="20" t="n">
        <f aca="false">IF(H70=0,0,H87/H70)</f>
        <v>0.0578057842868683</v>
      </c>
      <c r="I88" s="20" t="n">
        <f aca="false">IF(I70=0,0,I87/I70)</f>
        <v>0.0579709219236704</v>
      </c>
      <c r="J88" s="20" t="n">
        <f aca="false">IF(J70=0,0,J87/J70)</f>
        <v>0.0582286760999254</v>
      </c>
      <c r="K88" s="20" t="n">
        <f aca="false">IF(K70=0,0,K87/K70)</f>
        <v>0.0584957580226693</v>
      </c>
      <c r="L88" s="20" t="n">
        <f aca="false">IF(L70=0,0,L87/L70)</f>
        <v>0.0587722050411941</v>
      </c>
      <c r="M88" s="20" t="n">
        <f aca="false">IF(M70=0,0,M87/M70)</f>
        <v>0.0590580498611934</v>
      </c>
      <c r="N88" s="10" t="s">
        <v>354</v>
      </c>
      <c r="O88" s="10"/>
    </row>
    <row r="90" customFormat="false" ht="15" hidden="false" customHeight="false" outlineLevel="0" collapsed="false">
      <c r="A90" s="23" t="s">
        <v>172</v>
      </c>
      <c r="B90" s="24" t="s">
        <v>378</v>
      </c>
      <c r="C90" s="25"/>
      <c r="D90" s="25"/>
      <c r="E90" s="25"/>
      <c r="F90" s="25"/>
      <c r="G90" s="25"/>
      <c r="H90" s="25"/>
      <c r="I90" s="25"/>
      <c r="J90" s="25"/>
      <c r="K90" s="25"/>
      <c r="L90" s="25"/>
      <c r="M90" s="25"/>
      <c r="N90" s="25"/>
      <c r="O90" s="25"/>
    </row>
    <row r="91" customFormat="false" ht="15" hidden="false" customHeight="false" outlineLevel="0" collapsed="false">
      <c r="B91" s="7" t="s">
        <v>379</v>
      </c>
      <c r="C91" s="22" t="n">
        <f aca="false">C87</f>
        <v>294.400000000001</v>
      </c>
      <c r="D91" s="22" t="n">
        <f aca="false">D87</f>
        <v>432.856748552538</v>
      </c>
      <c r="E91" s="22" t="n">
        <f aca="false">E87</f>
        <v>405.691940420217</v>
      </c>
      <c r="F91" s="22" t="n">
        <f aca="false">F87</f>
        <v>406.340514799715</v>
      </c>
      <c r="G91" s="22" t="n">
        <f aca="false">G87</f>
        <v>411.37816684795</v>
      </c>
      <c r="H91" s="22" t="n">
        <f aca="false">H87</f>
        <v>419.545272048733</v>
      </c>
      <c r="I91" s="22" t="n">
        <f aca="false">I87</f>
        <v>429.875179272987</v>
      </c>
      <c r="J91" s="22" t="n">
        <f aca="false">J87</f>
        <v>441.583479200427</v>
      </c>
      <c r="K91" s="22" t="n">
        <f aca="false">K87</f>
        <v>453.719060617305</v>
      </c>
      <c r="L91" s="22" t="n">
        <f aca="false">L87</f>
        <v>466.299482622784</v>
      </c>
      <c r="M91" s="22" t="n">
        <f aca="false">M87</f>
        <v>479.343041501211</v>
      </c>
      <c r="N91" s="10" t="s">
        <v>282</v>
      </c>
      <c r="O91" s="10" t="s">
        <v>380</v>
      </c>
    </row>
    <row r="92" customFormat="false" ht="15" hidden="false" customHeight="false" outlineLevel="0" collapsed="false">
      <c r="B92" s="7" t="s">
        <v>381</v>
      </c>
      <c r="C92" s="22" t="n">
        <f aca="false">C87-C91</f>
        <v>0</v>
      </c>
      <c r="D92" s="22" t="n">
        <f aca="false">D87-D91</f>
        <v>0</v>
      </c>
      <c r="E92" s="22" t="n">
        <f aca="false">E87-E91</f>
        <v>0</v>
      </c>
      <c r="F92" s="22" t="n">
        <f aca="false">F87-F91</f>
        <v>0</v>
      </c>
      <c r="G92" s="22" t="n">
        <f aca="false">G87-G91</f>
        <v>0</v>
      </c>
      <c r="H92" s="22" t="n">
        <f aca="false">H87-H91</f>
        <v>0</v>
      </c>
      <c r="I92" s="22" t="n">
        <f aca="false">I87-I91</f>
        <v>0</v>
      </c>
      <c r="J92" s="22" t="n">
        <f aca="false">J87-J91</f>
        <v>0</v>
      </c>
      <c r="K92" s="22" t="n">
        <f aca="false">K87-K91</f>
        <v>0</v>
      </c>
      <c r="L92" s="22" t="n">
        <f aca="false">L87-L91</f>
        <v>0</v>
      </c>
      <c r="M92" s="22" t="n">
        <f aca="false">M87-M91</f>
        <v>0</v>
      </c>
      <c r="N92" s="10" t="s">
        <v>282</v>
      </c>
      <c r="O92" s="10" t="s">
        <v>382</v>
      </c>
    </row>
    <row r="93" customFormat="false" ht="15" hidden="false" customHeight="false" outlineLevel="0" collapsed="false">
      <c r="B93" s="7" t="s">
        <v>383</v>
      </c>
      <c r="D93" s="31" t="n">
        <f aca="false">'Model - NA'!D93+'Model - INTL'!D93+'Model - OTHER'!D93</f>
        <v>432.856748552538</v>
      </c>
      <c r="E93" s="31" t="n">
        <f aca="false">'Model - NA'!E93+'Model - INTL'!E93+'Model - OTHER'!E93</f>
        <v>405.691940420217</v>
      </c>
      <c r="F93" s="31" t="n">
        <f aca="false">'Model - NA'!F93+'Model - INTL'!F93+'Model - OTHER'!F93</f>
        <v>406.340514799714</v>
      </c>
      <c r="G93" s="31" t="n">
        <f aca="false">'Model - NA'!G93+'Model - INTL'!G93+'Model - OTHER'!G93</f>
        <v>411.378166847952</v>
      </c>
      <c r="H93" s="31" t="n">
        <f aca="false">'Model - NA'!H93+'Model - INTL'!H93+'Model - OTHER'!H93</f>
        <v>419.545272048733</v>
      </c>
      <c r="I93" s="31" t="n">
        <f aca="false">'Model - NA'!I93+'Model - INTL'!I93+'Model - OTHER'!I93</f>
        <v>429.875179272987</v>
      </c>
      <c r="J93" s="31" t="n">
        <f aca="false">'Model - NA'!J93+'Model - INTL'!J93+'Model - OTHER'!J93</f>
        <v>441.583479200426</v>
      </c>
      <c r="K93" s="31" t="n">
        <f aca="false">'Model - NA'!K93+'Model - INTL'!K93+'Model - OTHER'!K93</f>
        <v>453.719060617304</v>
      </c>
      <c r="L93" s="31" t="n">
        <f aca="false">'Model - NA'!L93+'Model - INTL'!L93+'Model - OTHER'!L93</f>
        <v>466.299482622785</v>
      </c>
      <c r="M93" s="31" t="n">
        <f aca="false">'Model - NA'!M93+'Model - INTL'!M93+'Model - OTHER'!M93</f>
        <v>479.343041501211</v>
      </c>
      <c r="N93" s="10" t="s">
        <v>282</v>
      </c>
      <c r="O93" s="10"/>
    </row>
    <row r="94" customFormat="false" ht="15" hidden="false" customHeight="false" outlineLevel="0" collapsed="false">
      <c r="B94" s="7" t="s">
        <v>384</v>
      </c>
      <c r="C94" s="32" t="s">
        <v>421</v>
      </c>
      <c r="N94" s="10" t="s">
        <v>354</v>
      </c>
      <c r="O94" s="10" t="s">
        <v>422</v>
      </c>
    </row>
    <row r="95" customFormat="false" ht="15" hidden="false" customHeight="false" outlineLevel="0" collapsed="false">
      <c r="B95" s="7" t="s">
        <v>386</v>
      </c>
      <c r="C95" s="31" t="n">
        <f aca="false">'Model - NA'!C95+'Model - INTL'!C95+'Model - OTHER'!C95</f>
        <v>1966.2</v>
      </c>
      <c r="N95" s="10" t="s">
        <v>282</v>
      </c>
      <c r="O95" s="10"/>
    </row>
    <row r="96" customFormat="false" ht="15" hidden="false" customHeight="false" outlineLevel="0" collapsed="false">
      <c r="B96" s="7" t="s">
        <v>387</v>
      </c>
      <c r="C96" s="31" t="n">
        <f aca="false">'Model - NA'!C96+'Model - INTL'!C96+'Model - OTHER'!C96</f>
        <v>2577.58798449822</v>
      </c>
      <c r="N96" s="10" t="s">
        <v>282</v>
      </c>
      <c r="O96" s="10" t="s">
        <v>388</v>
      </c>
    </row>
    <row r="97" customFormat="false" ht="15" hidden="false" customHeight="false" outlineLevel="0" collapsed="false">
      <c r="B97" s="7" t="s">
        <v>389</v>
      </c>
      <c r="C97" s="31" t="n">
        <f aca="false">'Model - NA'!C97+'Model - INTL'!C97+'Model - OTHER'!C97</f>
        <v>718.936791323957</v>
      </c>
      <c r="N97" s="10" t="s">
        <v>282</v>
      </c>
      <c r="O97" s="10" t="s">
        <v>390</v>
      </c>
    </row>
    <row r="98" customFormat="false" ht="15" hidden="false" customHeight="false" outlineLevel="0" collapsed="false">
      <c r="B98" s="3" t="s">
        <v>391</v>
      </c>
      <c r="C98" s="33" t="n">
        <f aca="false">'Model - NA'!C98+'Model - INTL'!C98+'Model - OTHER'!C98</f>
        <v>3296.52</v>
      </c>
      <c r="N98" s="10" t="s">
        <v>282</v>
      </c>
      <c r="O98" s="10" t="s">
        <v>423</v>
      </c>
    </row>
    <row r="99" customFormat="false" ht="15" hidden="false" customHeight="false" outlineLevel="0" collapsed="false">
      <c r="B99" s="3" t="s">
        <v>393</v>
      </c>
      <c r="C99" s="27" t="n">
        <f aca="false">C96+C97</f>
        <v>3296.52477582218</v>
      </c>
      <c r="N99" s="10" t="s">
        <v>282</v>
      </c>
      <c r="O99" s="10" t="s">
        <v>394</v>
      </c>
    </row>
    <row r="100" customFormat="false" ht="15" hidden="false" customHeight="false" outlineLevel="0" collapsed="false">
      <c r="B100" s="7" t="s">
        <v>395</v>
      </c>
      <c r="C100" s="20" t="n">
        <f aca="false">IF(C98=0,0,C99/C98-1)</f>
        <v>1.44874661067718E-006</v>
      </c>
      <c r="N100" s="10" t="s">
        <v>354</v>
      </c>
      <c r="O100" s="10"/>
    </row>
    <row r="101" customFormat="false" ht="15" hidden="false" customHeight="false" outlineLevel="0" collapsed="false">
      <c r="B101" s="7" t="s">
        <v>396</v>
      </c>
      <c r="C101" s="22" t="n">
        <f aca="false">C99-C98</f>
        <v>0.00477582217718009</v>
      </c>
      <c r="N101" s="10" t="s">
        <v>282</v>
      </c>
      <c r="O101" s="10"/>
    </row>
    <row r="103" customFormat="false" ht="15" hidden="false" customHeight="false" outlineLevel="0" collapsed="false">
      <c r="A103" s="23" t="s">
        <v>149</v>
      </c>
      <c r="B103" s="24" t="s">
        <v>397</v>
      </c>
      <c r="C103" s="25"/>
      <c r="D103" s="25"/>
      <c r="E103" s="25"/>
      <c r="F103" s="25"/>
      <c r="G103" s="25"/>
      <c r="H103" s="25"/>
      <c r="I103" s="25"/>
      <c r="J103" s="25"/>
      <c r="K103" s="25"/>
      <c r="L103" s="25"/>
      <c r="M103" s="25"/>
      <c r="N103" s="25"/>
      <c r="O103" s="25"/>
    </row>
    <row r="104" customFormat="false" ht="15" hidden="false" customHeight="false" outlineLevel="0" collapsed="false">
      <c r="B104" s="7" t="s">
        <v>398</v>
      </c>
      <c r="C104" s="31" t="n">
        <f aca="false">'Model - NA'!C104+'Model - INTL'!C104+'Model - OTHER'!C104</f>
        <v>874.8</v>
      </c>
      <c r="D104" s="31" t="n">
        <f aca="false">'Model - NA'!D104+'Model - INTL'!D104+'Model - OTHER'!D104</f>
        <v>874.8</v>
      </c>
      <c r="E104" s="31" t="n">
        <f aca="false">'Model - NA'!E104+'Model - INTL'!E104+'Model - OTHER'!E104</f>
        <v>874.8</v>
      </c>
      <c r="F104" s="31" t="n">
        <f aca="false">'Model - NA'!F104+'Model - INTL'!F104+'Model - OTHER'!F104</f>
        <v>874.8</v>
      </c>
      <c r="G104" s="31" t="n">
        <f aca="false">'Model - NA'!G104+'Model - INTL'!G104+'Model - OTHER'!G104</f>
        <v>874.8</v>
      </c>
      <c r="H104" s="31" t="n">
        <f aca="false">'Model - NA'!H104+'Model - INTL'!H104+'Model - OTHER'!H104</f>
        <v>874.8</v>
      </c>
      <c r="I104" s="31" t="n">
        <f aca="false">'Model - NA'!I104+'Model - INTL'!I104+'Model - OTHER'!I104</f>
        <v>874.8</v>
      </c>
      <c r="J104" s="31" t="n">
        <f aca="false">'Model - NA'!J104+'Model - INTL'!J104+'Model - OTHER'!J104</f>
        <v>874.8</v>
      </c>
      <c r="K104" s="31" t="n">
        <f aca="false">'Model - NA'!K104+'Model - INTL'!K104+'Model - OTHER'!K104</f>
        <v>874.8</v>
      </c>
      <c r="L104" s="31" t="n">
        <f aca="false">'Model - NA'!L104+'Model - INTL'!L104+'Model - OTHER'!L104</f>
        <v>874.8</v>
      </c>
      <c r="M104" s="31" t="n">
        <f aca="false">'Model - NA'!M104+'Model - INTL'!M104+'Model - OTHER'!M104</f>
        <v>874.8</v>
      </c>
      <c r="N104" s="10" t="s">
        <v>282</v>
      </c>
      <c r="O104" s="10" t="s">
        <v>399</v>
      </c>
    </row>
    <row r="105" customFormat="false" ht="15" hidden="false" customHeight="false" outlineLevel="0" collapsed="false">
      <c r="B105" s="7" t="s">
        <v>400</v>
      </c>
      <c r="C105" s="31" t="n">
        <f aca="false">'Model - NA'!C105+'Model - INTL'!C105+'Model - OTHER'!C105</f>
        <v>1940.1</v>
      </c>
      <c r="D105" s="31" t="n">
        <f aca="false">'Model - NA'!D105+'Model - INTL'!D105+'Model - OTHER'!D105</f>
        <v>1940.1</v>
      </c>
      <c r="E105" s="31" t="n">
        <f aca="false">'Model - NA'!E105+'Model - INTL'!E105+'Model - OTHER'!E105</f>
        <v>1940.1</v>
      </c>
      <c r="F105" s="31" t="n">
        <f aca="false">'Model - NA'!F105+'Model - INTL'!F105+'Model - OTHER'!F105</f>
        <v>1940.1</v>
      </c>
      <c r="G105" s="31" t="n">
        <f aca="false">'Model - NA'!G105+'Model - INTL'!G105+'Model - OTHER'!G105</f>
        <v>1940.1</v>
      </c>
      <c r="H105" s="31" t="n">
        <f aca="false">'Model - NA'!H105+'Model - INTL'!H105+'Model - OTHER'!H105</f>
        <v>1940.1</v>
      </c>
      <c r="I105" s="31" t="n">
        <f aca="false">'Model - NA'!I105+'Model - INTL'!I105+'Model - OTHER'!I105</f>
        <v>1940.1</v>
      </c>
      <c r="J105" s="31" t="n">
        <f aca="false">'Model - NA'!J105+'Model - INTL'!J105+'Model - OTHER'!J105</f>
        <v>1940.1</v>
      </c>
      <c r="K105" s="31" t="n">
        <f aca="false">'Model - NA'!K105+'Model - INTL'!K105+'Model - OTHER'!K105</f>
        <v>1940.1</v>
      </c>
      <c r="L105" s="31" t="n">
        <f aca="false">'Model - NA'!L105+'Model - INTL'!L105+'Model - OTHER'!L105</f>
        <v>1940.1</v>
      </c>
      <c r="M105" s="31" t="n">
        <f aca="false">'Model - NA'!M105+'Model - INTL'!M105+'Model - OTHER'!M105</f>
        <v>1940.1</v>
      </c>
      <c r="N105" s="10" t="s">
        <v>282</v>
      </c>
      <c r="O105" s="10" t="s">
        <v>401</v>
      </c>
    </row>
    <row r="106" customFormat="false" ht="15" hidden="false" customHeight="false" outlineLevel="0" collapsed="false">
      <c r="B106" s="3" t="s">
        <v>402</v>
      </c>
      <c r="C106" s="27" t="n">
        <f aca="false">C104+C105</f>
        <v>2814.9</v>
      </c>
      <c r="D106" s="27" t="n">
        <f aca="false">D104+D105</f>
        <v>2814.9</v>
      </c>
      <c r="E106" s="27" t="n">
        <f aca="false">E104+E105</f>
        <v>2814.9</v>
      </c>
      <c r="F106" s="27" t="n">
        <f aca="false">F104+F105</f>
        <v>2814.9</v>
      </c>
      <c r="G106" s="27" t="n">
        <f aca="false">G104+G105</f>
        <v>2814.9</v>
      </c>
      <c r="H106" s="27" t="n">
        <f aca="false">H104+H105</f>
        <v>2814.9</v>
      </c>
      <c r="I106" s="27" t="n">
        <f aca="false">I104+I105</f>
        <v>2814.9</v>
      </c>
      <c r="J106" s="27" t="n">
        <f aca="false">J104+J105</f>
        <v>2814.9</v>
      </c>
      <c r="K106" s="27" t="n">
        <f aca="false">K104+K105</f>
        <v>2814.9</v>
      </c>
      <c r="L106" s="27" t="n">
        <f aca="false">L104+L105</f>
        <v>2814.9</v>
      </c>
      <c r="M106" s="27" t="n">
        <f aca="false">M104+M105</f>
        <v>2814.9</v>
      </c>
      <c r="N106" s="10" t="s">
        <v>282</v>
      </c>
      <c r="O106" s="10"/>
    </row>
    <row r="107" customFormat="false" ht="15" hidden="false" customHeight="false" outlineLevel="0" collapsed="false">
      <c r="B107" s="7" t="s">
        <v>403</v>
      </c>
      <c r="C107" s="31" t="n">
        <f aca="false">'Model - NA'!C107+'Model - INTL'!C107+'Model - OTHER'!C107</f>
        <v>0</v>
      </c>
      <c r="D107" s="31" t="n">
        <f aca="false">'Model - NA'!D107+'Model - INTL'!D107+'Model - OTHER'!D107</f>
        <v>0</v>
      </c>
      <c r="E107" s="31" t="n">
        <f aca="false">'Model - NA'!E107+'Model - INTL'!E107+'Model - OTHER'!E107</f>
        <v>0</v>
      </c>
      <c r="F107" s="31" t="n">
        <f aca="false">'Model - NA'!F107+'Model - INTL'!F107+'Model - OTHER'!F107</f>
        <v>0</v>
      </c>
      <c r="G107" s="31" t="n">
        <f aca="false">'Model - NA'!G107+'Model - INTL'!G107+'Model - OTHER'!G107</f>
        <v>0</v>
      </c>
      <c r="H107" s="31" t="n">
        <f aca="false">'Model - NA'!H107+'Model - INTL'!H107+'Model - OTHER'!H107</f>
        <v>0</v>
      </c>
      <c r="I107" s="31" t="n">
        <f aca="false">'Model - NA'!I107+'Model - INTL'!I107+'Model - OTHER'!I107</f>
        <v>0</v>
      </c>
      <c r="J107" s="31" t="n">
        <f aca="false">'Model - NA'!J107+'Model - INTL'!J107+'Model - OTHER'!J107</f>
        <v>0</v>
      </c>
      <c r="K107" s="31" t="n">
        <f aca="false">'Model - NA'!K107+'Model - INTL'!K107+'Model - OTHER'!K107</f>
        <v>0</v>
      </c>
      <c r="L107" s="31" t="n">
        <f aca="false">'Model - NA'!L107+'Model - INTL'!L107+'Model - OTHER'!L107</f>
        <v>0</v>
      </c>
      <c r="M107" s="31" t="n">
        <f aca="false">'Model - NA'!M107+'Model - INTL'!M107+'Model - OTHER'!M107</f>
        <v>0</v>
      </c>
      <c r="N107" s="10" t="s">
        <v>282</v>
      </c>
      <c r="O107" s="10"/>
    </row>
    <row r="108" customFormat="false" ht="15" hidden="false" customHeight="false" outlineLevel="0" collapsed="false">
      <c r="B108" s="7" t="s">
        <v>404</v>
      </c>
      <c r="C108" s="31" t="n">
        <f aca="false">'Model - NA'!C108+'Model - INTL'!C108+'Model - OTHER'!C108</f>
        <v>848.7</v>
      </c>
      <c r="D108" s="31" t="n">
        <f aca="false">'Model - NA'!D108+'Model - INTL'!D108+'Model - OTHER'!D108</f>
        <v>848.7</v>
      </c>
      <c r="E108" s="31" t="n">
        <f aca="false">'Model - NA'!E108+'Model - INTL'!E108+'Model - OTHER'!E108</f>
        <v>848.7</v>
      </c>
      <c r="F108" s="31" t="n">
        <f aca="false">'Model - NA'!F108+'Model - INTL'!F108+'Model - OTHER'!F108</f>
        <v>848.7</v>
      </c>
      <c r="G108" s="31" t="n">
        <f aca="false">'Model - NA'!G108+'Model - INTL'!G108+'Model - OTHER'!G108</f>
        <v>848.7</v>
      </c>
      <c r="H108" s="31" t="n">
        <f aca="false">'Model - NA'!H108+'Model - INTL'!H108+'Model - OTHER'!H108</f>
        <v>848.7</v>
      </c>
      <c r="I108" s="31" t="n">
        <f aca="false">'Model - NA'!I108+'Model - INTL'!I108+'Model - OTHER'!I108</f>
        <v>848.7</v>
      </c>
      <c r="J108" s="31" t="n">
        <f aca="false">'Model - NA'!J108+'Model - INTL'!J108+'Model - OTHER'!J108</f>
        <v>848.7</v>
      </c>
      <c r="K108" s="31" t="n">
        <f aca="false">'Model - NA'!K108+'Model - INTL'!K108+'Model - OTHER'!K108</f>
        <v>848.7</v>
      </c>
      <c r="L108" s="31" t="n">
        <f aca="false">'Model - NA'!L108+'Model - INTL'!L108+'Model - OTHER'!L108</f>
        <v>848.7</v>
      </c>
      <c r="M108" s="31" t="n">
        <f aca="false">'Model - NA'!M108+'Model - INTL'!M108+'Model - OTHER'!M108</f>
        <v>848.7</v>
      </c>
      <c r="N108" s="10" t="s">
        <v>282</v>
      </c>
      <c r="O108" s="10" t="s">
        <v>405</v>
      </c>
    </row>
    <row r="109" customFormat="false" ht="15" hidden="false" customHeight="false" outlineLevel="0" collapsed="false">
      <c r="B109" s="3" t="s">
        <v>406</v>
      </c>
      <c r="C109" s="27" t="n">
        <f aca="false">C107+C108</f>
        <v>848.7</v>
      </c>
      <c r="D109" s="27" t="n">
        <f aca="false">D107+D108</f>
        <v>848.7</v>
      </c>
      <c r="E109" s="27" t="n">
        <f aca="false">E107+E108</f>
        <v>848.7</v>
      </c>
      <c r="F109" s="27" t="n">
        <f aca="false">F107+F108</f>
        <v>848.7</v>
      </c>
      <c r="G109" s="27" t="n">
        <f aca="false">G107+G108</f>
        <v>848.7</v>
      </c>
      <c r="H109" s="27" t="n">
        <f aca="false">H107+H108</f>
        <v>848.7</v>
      </c>
      <c r="I109" s="27" t="n">
        <f aca="false">I107+I108</f>
        <v>848.7</v>
      </c>
      <c r="J109" s="27" t="n">
        <f aca="false">J107+J108</f>
        <v>848.7</v>
      </c>
      <c r="K109" s="27" t="n">
        <f aca="false">K107+K108</f>
        <v>848.7</v>
      </c>
      <c r="L109" s="27" t="n">
        <f aca="false">L107+L108</f>
        <v>848.7</v>
      </c>
      <c r="M109" s="27" t="n">
        <f aca="false">M107+M108</f>
        <v>848.7</v>
      </c>
      <c r="N109" s="10" t="s">
        <v>282</v>
      </c>
      <c r="O109" s="10"/>
    </row>
    <row r="110" customFormat="false" ht="15" hidden="false" customHeight="false" outlineLevel="0" collapsed="false">
      <c r="B110" s="3" t="s">
        <v>407</v>
      </c>
      <c r="C110" s="27" t="n">
        <f aca="false">C106-C109</f>
        <v>1966.2</v>
      </c>
      <c r="D110" s="27" t="n">
        <f aca="false">D106-D109</f>
        <v>1966.2</v>
      </c>
      <c r="E110" s="27" t="n">
        <f aca="false">E106-E109</f>
        <v>1966.2</v>
      </c>
      <c r="F110" s="27" t="n">
        <f aca="false">F106-F109</f>
        <v>1966.2</v>
      </c>
      <c r="G110" s="27" t="n">
        <f aca="false">G106-G109</f>
        <v>1966.2</v>
      </c>
      <c r="H110" s="27" t="n">
        <f aca="false">H106-H109</f>
        <v>1966.2</v>
      </c>
      <c r="I110" s="27" t="n">
        <f aca="false">I106-I109</f>
        <v>1966.2</v>
      </c>
      <c r="J110" s="27" t="n">
        <f aca="false">J106-J109</f>
        <v>1966.2</v>
      </c>
      <c r="K110" s="27" t="n">
        <f aca="false">K106-K109</f>
        <v>1966.2</v>
      </c>
      <c r="L110" s="27" t="n">
        <f aca="false">L106-L109</f>
        <v>1966.2</v>
      </c>
      <c r="M110" s="27" t="n">
        <f aca="false">M106-M109</f>
        <v>1966.2</v>
      </c>
      <c r="N110" s="10" t="s">
        <v>282</v>
      </c>
      <c r="O110" s="10" t="s">
        <v>408</v>
      </c>
    </row>
    <row r="111" customFormat="false" ht="15" hidden="false" customHeight="false" outlineLevel="0" collapsed="false">
      <c r="B111" s="7" t="s">
        <v>409</v>
      </c>
      <c r="D111" s="22" t="n">
        <f aca="false">D110-(C110+D87-D91)</f>
        <v>0</v>
      </c>
      <c r="E111" s="22" t="n">
        <f aca="false">E110-(D110+E87-E91)</f>
        <v>0</v>
      </c>
      <c r="F111" s="22" t="n">
        <f aca="false">F110-(E110+F87-F91)</f>
        <v>0</v>
      </c>
      <c r="G111" s="22" t="n">
        <f aca="false">G110-(F110+G87-G91)</f>
        <v>0</v>
      </c>
      <c r="H111" s="22" t="n">
        <f aca="false">H110-(G110+H87-H91)</f>
        <v>0</v>
      </c>
      <c r="I111" s="22" t="n">
        <f aca="false">I110-(H110+I87-I91)</f>
        <v>0</v>
      </c>
      <c r="J111" s="22" t="n">
        <f aca="false">J110-(I110+J87-J91)</f>
        <v>0</v>
      </c>
      <c r="K111" s="22" t="n">
        <f aca="false">K110-(J110+K87-K91)</f>
        <v>0</v>
      </c>
      <c r="L111" s="22" t="n">
        <f aca="false">L110-(K110+L87-L91)</f>
        <v>0</v>
      </c>
      <c r="M111" s="22" t="n">
        <f aca="false">M110-(L110+M87-M91)</f>
        <v>0</v>
      </c>
      <c r="N111" s="10" t="s">
        <v>282</v>
      </c>
      <c r="O111" s="10"/>
    </row>
    <row r="112" customFormat="false" ht="15" hidden="false" customHeight="false" outlineLevel="0" collapsed="false">
      <c r="B112" s="7" t="s">
        <v>410</v>
      </c>
      <c r="C112" s="22" t="n">
        <f aca="false">C106-C109-C110</f>
        <v>0</v>
      </c>
      <c r="D112" s="22" t="n">
        <f aca="false">D106-D109-D110</f>
        <v>0</v>
      </c>
      <c r="E112" s="22" t="n">
        <f aca="false">E106-E109-E110</f>
        <v>0</v>
      </c>
      <c r="F112" s="22" t="n">
        <f aca="false">F106-F109-F110</f>
        <v>0</v>
      </c>
      <c r="G112" s="22" t="n">
        <f aca="false">G106-G109-G110</f>
        <v>0</v>
      </c>
      <c r="H112" s="22" t="n">
        <f aca="false">H106-H109-H110</f>
        <v>0</v>
      </c>
      <c r="I112" s="22" t="n">
        <f aca="false">I106-I109-I110</f>
        <v>0</v>
      </c>
      <c r="J112" s="22" t="n">
        <f aca="false">J106-J109-J110</f>
        <v>0</v>
      </c>
      <c r="K112" s="22" t="n">
        <f aca="false">K106-K109-K110</f>
        <v>0</v>
      </c>
      <c r="L112" s="22" t="n">
        <f aca="false">L106-L109-L110</f>
        <v>0</v>
      </c>
      <c r="M112" s="22" t="n">
        <f aca="false">M106-M109-M110</f>
        <v>0</v>
      </c>
      <c r="N112" s="10" t="s">
        <v>282</v>
      </c>
      <c r="O112" s="10"/>
    </row>
    <row r="114" customFormat="false" ht="15" hidden="false" customHeight="false" outlineLevel="0" collapsed="false">
      <c r="A114" s="12" t="s">
        <v>424</v>
      </c>
      <c r="B114" s="13"/>
      <c r="C114" s="13"/>
      <c r="D114" s="13"/>
      <c r="E114" s="13"/>
      <c r="F114" s="13"/>
      <c r="G114" s="13"/>
      <c r="H114" s="13"/>
      <c r="I114" s="13"/>
      <c r="J114" s="13"/>
      <c r="K114" s="13"/>
      <c r="L114" s="13"/>
      <c r="M114" s="13"/>
      <c r="N114" s="13"/>
      <c r="O114" s="13"/>
    </row>
    <row r="115" customFormat="false" ht="15" hidden="false" customHeight="false" outlineLevel="0" collapsed="false">
      <c r="B115" s="7" t="s">
        <v>425</v>
      </c>
      <c r="C115" s="21" t="n">
        <v>41.6</v>
      </c>
      <c r="D115" s="21" t="n">
        <v>38.8</v>
      </c>
      <c r="E115" s="22" t="n">
        <f aca="false">D115</f>
        <v>38.8</v>
      </c>
      <c r="F115" s="22" t="n">
        <f aca="false">E115</f>
        <v>38.8</v>
      </c>
      <c r="G115" s="22" t="n">
        <f aca="false">F115</f>
        <v>38.8</v>
      </c>
      <c r="H115" s="22" t="n">
        <f aca="false">G115</f>
        <v>38.8</v>
      </c>
      <c r="I115" s="22" t="n">
        <f aca="false">H115</f>
        <v>38.8</v>
      </c>
      <c r="J115" s="22" t="n">
        <f aca="false">I115</f>
        <v>38.8</v>
      </c>
      <c r="K115" s="22" t="n">
        <f aca="false">J115</f>
        <v>38.8</v>
      </c>
      <c r="L115" s="22" t="n">
        <f aca="false">K115</f>
        <v>38.8</v>
      </c>
      <c r="M115" s="22" t="n">
        <f aca="false">L115</f>
        <v>38.8</v>
      </c>
      <c r="N115" s="10" t="s">
        <v>426</v>
      </c>
      <c r="O115" s="10" t="s">
        <v>427</v>
      </c>
    </row>
    <row r="116" customFormat="false" ht="15" hidden="false" customHeight="false" outlineLevel="0" collapsed="false">
      <c r="B116" s="3" t="s">
        <v>428</v>
      </c>
      <c r="C116" s="34" t="n">
        <f aca="false">IF(C115=0,0,C87/C115)</f>
        <v>7.07692307692309</v>
      </c>
      <c r="D116" s="34" t="n">
        <f aca="false">IF(D115=0,0,D87/D115)</f>
        <v>11.156101766818</v>
      </c>
      <c r="E116" s="34" t="n">
        <f aca="false">IF(E115=0,0,E87/E115)</f>
        <v>10.4559778458819</v>
      </c>
      <c r="F116" s="34" t="n">
        <f aca="false">IF(F115=0,0,F87/F115)</f>
        <v>10.472693680405</v>
      </c>
      <c r="G116" s="34" t="n">
        <f aca="false">IF(G115=0,0,G87/G115)</f>
        <v>10.6025300734008</v>
      </c>
      <c r="H116" s="34" t="n">
        <f aca="false">IF(H115=0,0,H87/H115)</f>
        <v>10.8130224754828</v>
      </c>
      <c r="I116" s="34" t="n">
        <f aca="false">IF(I115=0,0,I87/I115)</f>
        <v>11.0792571977574</v>
      </c>
      <c r="J116" s="34" t="n">
        <f aca="false">IF(J115=0,0,J87/J115)</f>
        <v>11.3810175051656</v>
      </c>
      <c r="K116" s="34" t="n">
        <f aca="false">IF(K115=0,0,K87/K115)</f>
        <v>11.6937902220955</v>
      </c>
      <c r="L116" s="34" t="n">
        <f aca="false">IF(L115=0,0,L87/L115)</f>
        <v>12.0180279026491</v>
      </c>
      <c r="M116" s="34" t="n">
        <f aca="false">IF(M115=0,0,M87/M115)</f>
        <v>12.3542021005467</v>
      </c>
      <c r="N116" s="10" t="s">
        <v>429</v>
      </c>
      <c r="O116" s="10" t="s">
        <v>430</v>
      </c>
    </row>
    <row r="117" customFormat="false" ht="15" hidden="false" customHeight="false" outlineLevel="0" collapsed="false">
      <c r="B117" s="7" t="s">
        <v>431</v>
      </c>
      <c r="C117" s="20" t="n">
        <f aca="false">IF(C110=0,0,C87/C110)</f>
        <v>0.149730444512257</v>
      </c>
      <c r="D117" s="20" t="n">
        <f aca="false">IF(C110=0,0,D87/C110)</f>
        <v>0.220148890526161</v>
      </c>
      <c r="E117" s="20" t="n">
        <f aca="false">IF(D110=0,0,E87/D110)</f>
        <v>0.206332997874182</v>
      </c>
      <c r="F117" s="20" t="n">
        <f aca="false">IF(E110=0,0,F87/E110)</f>
        <v>0.206662859729282</v>
      </c>
      <c r="G117" s="20" t="n">
        <f aca="false">IF(F110=0,0,G87/F110)</f>
        <v>0.209224985682001</v>
      </c>
      <c r="H117" s="20" t="n">
        <f aca="false">IF(G110=0,0,H87/G110)</f>
        <v>0.21337873667416</v>
      </c>
      <c r="I117" s="20" t="n">
        <f aca="false">IF(H110=0,0,I87/H110)</f>
        <v>0.218632478523541</v>
      </c>
      <c r="J117" s="20" t="n">
        <f aca="false">IF(I110=0,0,J87/I110)</f>
        <v>0.224587264368033</v>
      </c>
      <c r="K117" s="20" t="n">
        <f aca="false">IF(J110=0,0,K87/J110)</f>
        <v>0.230759363552693</v>
      </c>
      <c r="L117" s="20" t="n">
        <f aca="false">IF(K110=0,0,L87/K110)</f>
        <v>0.237157706552123</v>
      </c>
      <c r="M117" s="20" t="n">
        <f aca="false">IF(L110=0,0,M87/L110)</f>
        <v>0.243791598769816</v>
      </c>
      <c r="N117" s="10" t="s">
        <v>354</v>
      </c>
    </row>
    <row r="118" customFormat="false" ht="15" hidden="false" customHeight="false" outlineLevel="0" collapsed="false">
      <c r="B118" s="7" t="s">
        <v>432</v>
      </c>
      <c r="C118" s="20" t="n">
        <f aca="false">IF(C87=0,0,C91/C87)</f>
        <v>1</v>
      </c>
      <c r="D118" s="20" t="n">
        <f aca="false">IF(D87=0,0,D91/D87)</f>
        <v>1</v>
      </c>
      <c r="E118" s="20" t="n">
        <f aca="false">IF(E87=0,0,E91/E87)</f>
        <v>1</v>
      </c>
      <c r="F118" s="20" t="n">
        <f aca="false">IF(F87=0,0,F91/F87)</f>
        <v>1</v>
      </c>
      <c r="G118" s="20" t="n">
        <f aca="false">IF(G87=0,0,G91/G87)</f>
        <v>1</v>
      </c>
      <c r="H118" s="20" t="n">
        <f aca="false">IF(H87=0,0,H91/H87)</f>
        <v>1</v>
      </c>
      <c r="I118" s="20" t="n">
        <f aca="false">IF(I87=0,0,I91/I87)</f>
        <v>1</v>
      </c>
      <c r="J118" s="20" t="n">
        <f aca="false">IF(J87=0,0,J91/J87)</f>
        <v>1</v>
      </c>
      <c r="K118" s="20" t="n">
        <f aca="false">IF(K87=0,0,K91/K87)</f>
        <v>1</v>
      </c>
      <c r="L118" s="20" t="n">
        <f aca="false">IF(L87=0,0,L91/L87)</f>
        <v>1</v>
      </c>
      <c r="M118" s="20" t="n">
        <f aca="false">IF(M87=0,0,M91/M87)</f>
        <v>1</v>
      </c>
      <c r="N118" s="10" t="s">
        <v>354</v>
      </c>
    </row>
    <row r="120" customFormat="false" ht="15" hidden="false" customHeight="false" outlineLevel="0" collapsed="false">
      <c r="A120" s="12" t="s">
        <v>433</v>
      </c>
      <c r="B120" s="13"/>
      <c r="C120" s="13"/>
      <c r="D120" s="13"/>
      <c r="E120" s="13"/>
      <c r="F120" s="13"/>
      <c r="G120" s="13"/>
      <c r="H120" s="13"/>
      <c r="I120" s="13"/>
      <c r="J120" s="13"/>
      <c r="K120" s="13"/>
      <c r="L120" s="13"/>
      <c r="M120" s="13"/>
      <c r="N120" s="13"/>
      <c r="O120" s="13"/>
    </row>
    <row r="121" customFormat="false" ht="15" hidden="false" customHeight="false" outlineLevel="0" collapsed="false">
      <c r="B121" s="7" t="s">
        <v>434</v>
      </c>
      <c r="C121" s="35" t="n">
        <v>46304</v>
      </c>
      <c r="N121" s="10" t="s">
        <v>435</v>
      </c>
      <c r="O121" s="10"/>
    </row>
    <row r="122" customFormat="false" ht="15" hidden="false" customHeight="false" outlineLevel="0" collapsed="false">
      <c r="B122" s="7" t="s">
        <v>436</v>
      </c>
      <c r="C122" s="36" t="n">
        <v>105.22</v>
      </c>
      <c r="N122" s="10" t="s">
        <v>429</v>
      </c>
      <c r="O122" s="10" t="s">
        <v>437</v>
      </c>
    </row>
    <row r="123" customFormat="false" ht="15" hidden="false" customHeight="false" outlineLevel="0" collapsed="false">
      <c r="B123" s="7" t="s">
        <v>438</v>
      </c>
      <c r="C123" s="21" t="n">
        <v>37.5</v>
      </c>
      <c r="N123" s="10" t="s">
        <v>426</v>
      </c>
      <c r="O123" s="10" t="s">
        <v>439</v>
      </c>
    </row>
    <row r="124" customFormat="false" ht="15" hidden="false" customHeight="false" outlineLevel="0" collapsed="false">
      <c r="B124" s="3" t="s">
        <v>440</v>
      </c>
      <c r="C124" s="27" t="n">
        <f aca="false">C122*C123</f>
        <v>3945.75</v>
      </c>
      <c r="N124" s="10" t="s">
        <v>282</v>
      </c>
      <c r="O124" s="10"/>
    </row>
    <row r="125" customFormat="false" ht="15" hidden="false" customHeight="false" outlineLevel="0" collapsed="false">
      <c r="B125" s="7" t="s">
        <v>441</v>
      </c>
      <c r="C125" s="37" t="n">
        <f aca="false">IF(D87=0,0,C124/D87)</f>
        <v>9.11560236312473</v>
      </c>
      <c r="N125" s="10" t="s">
        <v>442</v>
      </c>
      <c r="O125" s="10"/>
    </row>
    <row r="126" customFormat="false" ht="15" hidden="false" customHeight="false" outlineLevel="0" collapsed="false">
      <c r="B126" s="3" t="s">
        <v>443</v>
      </c>
      <c r="C126" s="38" t="n">
        <f aca="false">IF(C124=0,0,C98/C124-1)</f>
        <v>-0.164539061015016</v>
      </c>
      <c r="N126" s="10" t="s">
        <v>354</v>
      </c>
      <c r="O126" s="10" t="s">
        <v>444</v>
      </c>
    </row>
    <row r="127" customFormat="false" ht="15" hidden="false" customHeight="false" outlineLevel="0" collapsed="false">
      <c r="B127" s="7" t="s">
        <v>445</v>
      </c>
      <c r="C127" s="39" t="n">
        <f aca="false">IF(C123=0,0,C98/C123)</f>
        <v>87.9072</v>
      </c>
      <c r="N127" s="10" t="s">
        <v>429</v>
      </c>
      <c r="O127" s="10"/>
    </row>
    <row r="128" customFormat="false" ht="15" hidden="false" customHeight="false" outlineLevel="0" collapsed="false">
      <c r="B128" s="7" t="s">
        <v>446</v>
      </c>
      <c r="C128" s="37" t="n">
        <f aca="false">IF(C87=0,0,C124/C87)</f>
        <v>13.402683423913</v>
      </c>
      <c r="N128" s="10" t="s">
        <v>442</v>
      </c>
      <c r="O128" s="10"/>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&amp;C&amp;A - 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8"/>
    <col collapsed="false" customWidth="true" hidden="false" outlineLevel="0" max="13" min="3" style="0" width="12"/>
  </cols>
  <sheetData>
    <row r="1" customFormat="false" ht="17.35" hidden="false" customHeight="false" outlineLevel="0" collapsed="false">
      <c r="A1" s="1" t="s">
        <v>447</v>
      </c>
    </row>
    <row r="2" customFormat="false" ht="15" hidden="false" customHeight="false" outlineLevel="0" collapsed="false">
      <c r="A2" s="10" t="s">
        <v>448</v>
      </c>
    </row>
    <row r="4" customFormat="false" ht="30" hidden="false" customHeight="true" outlineLevel="0" collapsed="false">
      <c r="B4" s="40" t="s">
        <v>449</v>
      </c>
      <c r="C4" s="40" t="s">
        <v>450</v>
      </c>
      <c r="D4" s="40" t="s">
        <v>451</v>
      </c>
      <c r="E4" s="40" t="s">
        <v>140</v>
      </c>
      <c r="F4" s="40" t="s">
        <v>452</v>
      </c>
      <c r="G4" s="40" t="s">
        <v>453</v>
      </c>
    </row>
    <row r="5" customFormat="false" ht="15" hidden="false" customHeight="false" outlineLevel="0" collapsed="false">
      <c r="B5" s="7" t="s">
        <v>454</v>
      </c>
      <c r="C5" s="31" t="n">
        <f aca="false">'Model - NA'!C98</f>
        <v>3452.22</v>
      </c>
      <c r="D5" s="20" t="n">
        <f aca="false">IF($C$8=0,0,C5/$C$8)</f>
        <v>1.04723162607841</v>
      </c>
      <c r="E5" s="41" t="n">
        <f aca="false">'Model - NA'!C94</f>
        <v>0.105</v>
      </c>
      <c r="F5" s="31" t="n">
        <f aca="false">'Model - NA'!C70</f>
        <v>6363.6</v>
      </c>
      <c r="G5" s="31" t="n">
        <f aca="false">'Model - NA'!D87</f>
        <v>461.001635570213</v>
      </c>
    </row>
    <row r="6" customFormat="false" ht="15" hidden="false" customHeight="false" outlineLevel="0" collapsed="false">
      <c r="B6" s="7" t="s">
        <v>455</v>
      </c>
      <c r="C6" s="31" t="n">
        <f aca="false">'Model - INTL'!C98</f>
        <v>107.66</v>
      </c>
      <c r="D6" s="20" t="n">
        <f aca="false">IF($C$8=0,0,C6/$C$8)</f>
        <v>0.0326586824894131</v>
      </c>
      <c r="E6" s="41" t="n">
        <f aca="false">'Model - INTL'!C94</f>
        <v>0.12</v>
      </c>
      <c r="F6" s="31" t="n">
        <f aca="false">'Model - INTL'!C70</f>
        <v>410.4</v>
      </c>
      <c r="G6" s="31" t="n">
        <f aca="false">'Model - INTL'!D87</f>
        <v>12.9961473823256</v>
      </c>
    </row>
    <row r="7" customFormat="false" ht="15" hidden="false" customHeight="false" outlineLevel="0" collapsed="false">
      <c r="B7" s="7" t="s">
        <v>456</v>
      </c>
      <c r="C7" s="31" t="n">
        <f aca="false">'Model - OTHER'!C98</f>
        <v>-263.36</v>
      </c>
      <c r="D7" s="20" t="n">
        <f aca="false">IF($C$8=0,0,C7/$C$8)</f>
        <v>-0.0798903085678231</v>
      </c>
      <c r="E7" s="41" t="n">
        <f aca="false">'Model - OTHER'!C94</f>
        <v>0.105</v>
      </c>
      <c r="F7" s="31" t="n">
        <f aca="false">'Model - OTHER'!C70</f>
        <v>39.6</v>
      </c>
      <c r="G7" s="31" t="n">
        <f aca="false">'Model - OTHER'!D87</f>
        <v>-41.1410344</v>
      </c>
    </row>
    <row r="8" customFormat="false" ht="15" hidden="false" customHeight="false" outlineLevel="0" collapsed="false">
      <c r="B8" s="42" t="s">
        <v>457</v>
      </c>
      <c r="C8" s="43" t="n">
        <f aca="false">SUM(C5:C7)</f>
        <v>3296.52</v>
      </c>
      <c r="D8" s="44" t="n">
        <f aca="false">SUM(D5:D7)</f>
        <v>1</v>
      </c>
      <c r="E8" s="45"/>
      <c r="F8" s="43" t="n">
        <f aca="false">SUM(F5:F7)</f>
        <v>6813.6</v>
      </c>
      <c r="G8" s="43" t="n">
        <f aca="false">SUM(G5:G7)</f>
        <v>432.856748552538</v>
      </c>
    </row>
    <row r="9" customFormat="false" ht="15" hidden="false" customHeight="false" outlineLevel="0" collapsed="false">
      <c r="B9" s="7" t="s">
        <v>458</v>
      </c>
      <c r="C9" s="31" t="n">
        <f aca="false">'Total Company'!C124</f>
        <v>3945.75</v>
      </c>
    </row>
    <row r="10" customFormat="false" ht="15" hidden="false" customHeight="false" outlineLevel="0" collapsed="false">
      <c r="B10" s="7" t="s">
        <v>459</v>
      </c>
      <c r="C10" s="41" t="n">
        <f aca="false">'Total Company'!C126</f>
        <v>-0.164539061015016</v>
      </c>
    </row>
    <row r="11" customFormat="false" ht="15" hidden="false" customHeight="false" outlineLevel="0" collapsed="false">
      <c r="B11" s="7" t="s">
        <v>460</v>
      </c>
      <c r="C11" s="46" t="n">
        <f aca="false">'Total Company'!C127</f>
        <v>87.9072</v>
      </c>
    </row>
    <row r="13" customFormat="false" ht="15" hidden="false" customHeight="false" outlineLevel="0" collapsed="false">
      <c r="B13" s="3" t="s">
        <v>461</v>
      </c>
    </row>
    <row r="14" customFormat="false" ht="15" hidden="false" customHeight="false" outlineLevel="0" collapsed="false">
      <c r="B14" s="11" t="s">
        <v>462</v>
      </c>
      <c r="C14" s="16" t="s">
        <v>463</v>
      </c>
      <c r="D14" s="16" t="s">
        <v>246</v>
      </c>
      <c r="E14" s="16" t="s">
        <v>247</v>
      </c>
      <c r="F14" s="16" t="s">
        <v>248</v>
      </c>
      <c r="G14" s="16" t="s">
        <v>249</v>
      </c>
      <c r="H14" s="16" t="s">
        <v>250</v>
      </c>
      <c r="I14" s="16" t="s">
        <v>251</v>
      </c>
      <c r="J14" s="16" t="s">
        <v>252</v>
      </c>
      <c r="K14" s="16" t="s">
        <v>253</v>
      </c>
      <c r="L14" s="16" t="s">
        <v>254</v>
      </c>
      <c r="M14" s="16" t="s">
        <v>255</v>
      </c>
    </row>
    <row r="15" customFormat="false" ht="15" hidden="false" customHeight="false" outlineLevel="0" collapsed="false">
      <c r="B15" s="7" t="s">
        <v>464</v>
      </c>
      <c r="C15" s="31" t="n">
        <f aca="false">'Total Company'!C70</f>
        <v>6813.6</v>
      </c>
      <c r="D15" s="31" t="n">
        <f aca="false">'Total Company'!D70</f>
        <v>6831.52585283845</v>
      </c>
      <c r="E15" s="31" t="n">
        <f aca="false">'Total Company'!E70</f>
        <v>6901.31298029178</v>
      </c>
      <c r="F15" s="31" t="n">
        <f aca="false">'Total Company'!F70</f>
        <v>6995.80460490778</v>
      </c>
      <c r="G15" s="31" t="n">
        <f aca="false">'Total Company'!G70</f>
        <v>7116.00164124695</v>
      </c>
      <c r="H15" s="31" t="n">
        <f aca="false">'Total Company'!H70</f>
        <v>7257.84239803214</v>
      </c>
      <c r="I15" s="31" t="n">
        <f aca="false">'Total Company'!I70</f>
        <v>7415.35868342749</v>
      </c>
      <c r="J15" s="31" t="n">
        <f aca="false">'Total Company'!J70</f>
        <v>7583.60843448736</v>
      </c>
      <c r="K15" s="31" t="n">
        <f aca="false">'Total Company'!K70</f>
        <v>7756.4438166862</v>
      </c>
      <c r="L15" s="31" t="n">
        <f aca="false">'Total Company'!L70</f>
        <v>7934.01374503389</v>
      </c>
      <c r="M15" s="31" t="n">
        <f aca="false">'Total Company'!M70</f>
        <v>8116.47256602328</v>
      </c>
    </row>
    <row r="16" customFormat="false" ht="15" hidden="false" customHeight="false" outlineLevel="0" collapsed="false">
      <c r="B16" s="7" t="s">
        <v>465</v>
      </c>
      <c r="C16" s="31" t="n">
        <f aca="false">'Total Company'!C87</f>
        <v>294.400000000001</v>
      </c>
      <c r="D16" s="31" t="n">
        <f aca="false">'Total Company'!D87</f>
        <v>432.856748552538</v>
      </c>
      <c r="E16" s="31" t="n">
        <f aca="false">'Total Company'!E87</f>
        <v>405.691940420217</v>
      </c>
      <c r="F16" s="31" t="n">
        <f aca="false">'Total Company'!F87</f>
        <v>406.340514799715</v>
      </c>
      <c r="G16" s="31" t="n">
        <f aca="false">'Total Company'!G87</f>
        <v>411.37816684795</v>
      </c>
      <c r="H16" s="31" t="n">
        <f aca="false">'Total Company'!H87</f>
        <v>419.545272048733</v>
      </c>
      <c r="I16" s="31" t="n">
        <f aca="false">'Total Company'!I87</f>
        <v>429.875179272987</v>
      </c>
      <c r="J16" s="31" t="n">
        <f aca="false">'Total Company'!J87</f>
        <v>441.583479200427</v>
      </c>
      <c r="K16" s="31" t="n">
        <f aca="false">'Total Company'!K87</f>
        <v>453.719060617305</v>
      </c>
      <c r="L16" s="31" t="n">
        <f aca="false">'Total Company'!L87</f>
        <v>466.299482622784</v>
      </c>
      <c r="M16" s="31" t="n">
        <f aca="false">'Total Company'!M87</f>
        <v>479.343041501211</v>
      </c>
    </row>
    <row r="17" customFormat="false" ht="15" hidden="false" customHeight="false" outlineLevel="0" collapsed="false">
      <c r="B17" s="7" t="s">
        <v>466</v>
      </c>
      <c r="C17" s="31" t="n">
        <f aca="false">'Total Company'!C80</f>
        <v>393.100000000001</v>
      </c>
      <c r="D17" s="31" t="n">
        <f aca="false">'Total Company'!D80</f>
        <v>563.652755944258</v>
      </c>
      <c r="E17" s="31" t="n">
        <f aca="false">'Total Company'!E80</f>
        <v>527.904432565617</v>
      </c>
      <c r="F17" s="31" t="n">
        <f aca="false">'Total Company'!F80</f>
        <v>528.754364982063</v>
      </c>
      <c r="G17" s="31" t="n">
        <f aca="false">'Total Company'!G80</f>
        <v>535.379190440368</v>
      </c>
      <c r="H17" s="31" t="n">
        <f aca="false">'Total Company'!H80</f>
        <v>546.121501764369</v>
      </c>
      <c r="I17" s="31" t="n">
        <f aca="false">'Total Company'!I80</f>
        <v>559.711052349442</v>
      </c>
      <c r="J17" s="31" t="n">
        <f aca="false">'Total Company'!J80</f>
        <v>575.115818011363</v>
      </c>
      <c r="K17" s="31" t="n">
        <f aca="false">'Total Company'!K80</f>
        <v>591.082696927929</v>
      </c>
      <c r="L17" s="31" t="n">
        <f aca="false">'Total Company'!L80</f>
        <v>607.634790112955</v>
      </c>
      <c r="M17" s="31" t="n">
        <f aca="false">'Total Company'!M80</f>
        <v>624.79616849434</v>
      </c>
    </row>
    <row r="21" customFormat="false" ht="15" hidden="false" customHeight="false" outlineLevel="0" collapsed="false">
      <c r="B21" s="3" t="s">
        <v>467</v>
      </c>
    </row>
    <row r="22" customFormat="false" ht="23.85" hidden="false" customHeight="false" outlineLevel="0" collapsed="false">
      <c r="B22" s="40" t="s">
        <v>468</v>
      </c>
      <c r="C22" s="40" t="s">
        <v>469</v>
      </c>
      <c r="D22" s="40" t="s">
        <v>470</v>
      </c>
      <c r="E22" s="40" t="s">
        <v>471</v>
      </c>
      <c r="F22" s="40" t="s">
        <v>472</v>
      </c>
      <c r="G22" s="40" t="s">
        <v>473</v>
      </c>
    </row>
    <row r="23" customFormat="false" ht="15" hidden="false" customHeight="false" outlineLevel="0" collapsed="false">
      <c r="B23" s="7" t="s">
        <v>474</v>
      </c>
      <c r="C23" s="21" t="n">
        <v>2985.6</v>
      </c>
      <c r="D23" s="21" t="n">
        <v>3296.5</v>
      </c>
      <c r="E23" s="21" t="n">
        <v>3624.6</v>
      </c>
      <c r="F23" s="22" t="n">
        <f aca="false">E23-D23</f>
        <v>328.1</v>
      </c>
      <c r="G23" s="20" t="n">
        <f aca="false">IF(D23=0,0,E23/D23-1)</f>
        <v>0.0995298043379342</v>
      </c>
    </row>
    <row r="24" customFormat="false" ht="15" hidden="false" customHeight="false" outlineLevel="0" collapsed="false">
      <c r="B24" s="7" t="s">
        <v>475</v>
      </c>
      <c r="C24" s="21" t="n">
        <v>2965.5</v>
      </c>
      <c r="D24" s="21" t="n">
        <v>3296.5</v>
      </c>
      <c r="E24" s="21" t="n">
        <v>3627.6</v>
      </c>
      <c r="F24" s="22" t="n">
        <f aca="false">E24-D24</f>
        <v>331.1</v>
      </c>
      <c r="G24" s="20" t="n">
        <f aca="false">IF(D24=0,0,E24/D24-1)</f>
        <v>0.100439860458062</v>
      </c>
    </row>
    <row r="25" customFormat="false" ht="15" hidden="false" customHeight="false" outlineLevel="0" collapsed="false">
      <c r="B25" s="7" t="s">
        <v>476</v>
      </c>
      <c r="C25" s="21" t="n">
        <v>3480.7</v>
      </c>
      <c r="D25" s="21" t="n">
        <v>3296.5</v>
      </c>
      <c r="E25" s="21" t="n">
        <v>3126.4</v>
      </c>
      <c r="F25" s="22" t="n">
        <f aca="false">E25-D25</f>
        <v>-170.1</v>
      </c>
      <c r="G25" s="20" t="n">
        <f aca="false">IF(D25=0,0,E25/D25-1)</f>
        <v>-0.051600182011224</v>
      </c>
    </row>
    <row r="26" customFormat="false" ht="15" hidden="false" customHeight="false" outlineLevel="0" collapsed="false">
      <c r="B26" s="7" t="s">
        <v>477</v>
      </c>
      <c r="C26" s="21" t="n">
        <v>3627.6</v>
      </c>
      <c r="D26" s="21" t="n">
        <v>3296.5</v>
      </c>
      <c r="E26" s="21" t="n">
        <v>2965.5</v>
      </c>
      <c r="F26" s="22" t="n">
        <f aca="false">E26-D26</f>
        <v>-331</v>
      </c>
      <c r="G26" s="20" t="n">
        <f aca="false">IF(D26=0,0,E26/D26-1)</f>
        <v>-0.100409525254057</v>
      </c>
    </row>
    <row r="27" customFormat="false" ht="15" hidden="false" customHeight="false" outlineLevel="0" collapsed="false">
      <c r="B27" s="7" t="s">
        <v>478</v>
      </c>
      <c r="C27" s="21" t="n">
        <v>3491.8</v>
      </c>
      <c r="D27" s="21" t="n">
        <v>3296.5</v>
      </c>
      <c r="E27" s="21" t="n">
        <v>3090.5</v>
      </c>
      <c r="F27" s="22" t="n">
        <f aca="false">E27-D27</f>
        <v>-206</v>
      </c>
      <c r="G27" s="20" t="n">
        <f aca="false">IF(D27=0,0,E27/D27-1)</f>
        <v>-0.0624905202487487</v>
      </c>
    </row>
    <row r="28" customFormat="false" ht="15" hidden="false" customHeight="false" outlineLevel="0" collapsed="false">
      <c r="B28" s="7" t="s">
        <v>479</v>
      </c>
      <c r="C28" s="21" t="n">
        <v>3330.5</v>
      </c>
      <c r="D28" s="21" t="n">
        <v>3296.5</v>
      </c>
      <c r="E28" s="21" t="n">
        <v>3262.6</v>
      </c>
      <c r="F28" s="22" t="n">
        <f aca="false">E28-D28</f>
        <v>-33.9000000000001</v>
      </c>
      <c r="G28" s="20" t="n">
        <f aca="false">IF(D28=0,0,E28/D28-1)</f>
        <v>-0.0102836341574397</v>
      </c>
    </row>
    <row r="29" customFormat="false" ht="15" hidden="false" customHeight="false" outlineLevel="0" collapsed="false">
      <c r="B29" s="7" t="s">
        <v>480</v>
      </c>
      <c r="C29" s="21" t="n">
        <v>3387.6</v>
      </c>
      <c r="D29" s="21" t="n">
        <v>3296.5</v>
      </c>
      <c r="E29" s="21" t="n">
        <v>3205.5</v>
      </c>
      <c r="F29" s="22" t="n">
        <f aca="false">E29-D29</f>
        <v>-91</v>
      </c>
      <c r="G29" s="20" t="n">
        <f aca="false">IF(D29=0,0,E29/D29-1)</f>
        <v>-0.0276050356438647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0"/>
    <col collapsed="false" customWidth="true" hidden="false" outlineLevel="0" max="3" min="3" style="0" width="12"/>
    <col collapsed="false" customWidth="true" hidden="false" outlineLevel="0" max="4" min="4" style="0" width="18"/>
    <col collapsed="false" customWidth="true" hidden="false" outlineLevel="0" max="5" min="5" style="0" width="22"/>
  </cols>
  <sheetData>
    <row r="1" customFormat="false" ht="17.35" hidden="false" customHeight="false" outlineLevel="0" collapsed="false">
      <c r="A1" s="1" t="s">
        <v>481</v>
      </c>
    </row>
    <row r="2" customFormat="false" ht="15" hidden="false" customHeight="false" outlineLevel="0" collapsed="false">
      <c r="A2" s="10" t="s">
        <v>482</v>
      </c>
    </row>
    <row r="4" customFormat="false" ht="15" hidden="false" customHeight="false" outlineLevel="0" collapsed="false">
      <c r="A4" s="11" t="s">
        <v>45</v>
      </c>
      <c r="B4" s="11" t="s">
        <v>483</v>
      </c>
      <c r="C4" s="11" t="s">
        <v>484</v>
      </c>
      <c r="D4" s="11" t="s">
        <v>485</v>
      </c>
      <c r="E4" s="11" t="s">
        <v>486</v>
      </c>
    </row>
    <row r="5" customFormat="false" ht="15" hidden="false" customHeight="false" outlineLevel="0" collapsed="false">
      <c r="A5" s="7" t="n">
        <v>1</v>
      </c>
      <c r="B5" s="7" t="s">
        <v>487</v>
      </c>
      <c r="C5" s="47" t="b">
        <f aca="false">SUMPRODUCT(ABS('Total Company'!C70:M70-'Model - NA'!C70:M70-'Model - INTL'!C70:M70-'Model - OTHER'!C70:M70))&lt;0.001</f>
        <v>1</v>
      </c>
      <c r="D5" s="26" t="n">
        <f aca="false">SUMPRODUCT(ABS('Total Company'!C70:M70-'Model - NA'!C70:M70-'Model - INTL'!C70:M70-'Model - OTHER'!C70:M70))</f>
        <v>4.20641299569979E-012</v>
      </c>
      <c r="E5" s="10" t="s">
        <v>488</v>
      </c>
    </row>
    <row r="6" customFormat="false" ht="15" hidden="false" customHeight="false" outlineLevel="0" collapsed="false">
      <c r="A6" s="7" t="n">
        <v>2</v>
      </c>
      <c r="B6" s="7" t="s">
        <v>489</v>
      </c>
      <c r="C6" s="47" t="b">
        <f aca="false">SUMPRODUCT(ABS('Total Company'!C80:M80-'Model - NA'!C80:M80-'Model - INTL'!C80:M80-'Model - OTHER'!C80:M80))&lt;0.001</f>
        <v>1</v>
      </c>
      <c r="D6" s="26" t="n">
        <f aca="false">SUMPRODUCT(ABS('Total Company'!C80:M80-'Model - NA'!C80:M80-'Model - INTL'!C80:M80-'Model - OTHER'!C80:M80))</f>
        <v>6.20303808318568E-012</v>
      </c>
      <c r="E6" s="10" t="s">
        <v>488</v>
      </c>
    </row>
    <row r="7" customFormat="false" ht="15" hidden="false" customHeight="false" outlineLevel="0" collapsed="false">
      <c r="A7" s="7" t="n">
        <v>3</v>
      </c>
      <c r="B7" s="7" t="s">
        <v>490</v>
      </c>
      <c r="C7" s="47" t="b">
        <f aca="false">SUMPRODUCT(ABS('Total Company'!C87:M87-'Model - NA'!C87:M87-'Model - INTL'!C87:M87-'Model - OTHER'!C87:M87))&lt;0.001</f>
        <v>1</v>
      </c>
      <c r="D7" s="26" t="n">
        <f aca="false">SUMPRODUCT(ABS('Total Company'!C87:M87-'Model - NA'!C87:M87-'Model - INTL'!C87:M87-'Model - OTHER'!C87:M87))</f>
        <v>6.68620714350254E-012</v>
      </c>
      <c r="E7" s="10" t="s">
        <v>488</v>
      </c>
    </row>
    <row r="8" customFormat="false" ht="15" hidden="false" customHeight="false" outlineLevel="0" collapsed="false">
      <c r="A8" s="7" t="n">
        <v>4</v>
      </c>
      <c r="B8" s="7" t="s">
        <v>491</v>
      </c>
      <c r="C8" s="47" t="b">
        <f aca="false">SUMPRODUCT(ABS('Total Company'!C110:M110-'Model - NA'!C110:M110-'Model - INTL'!C110:M110-'Model - OTHER'!C110:M110))&lt;0.001</f>
        <v>1</v>
      </c>
      <c r="D8" s="26" t="n">
        <f aca="false">SUMPRODUCT(ABS('Total Company'!C110:M110-'Model - NA'!C110:M110-'Model - INTL'!C110:M110-'Model - OTHER'!C110:M110))</f>
        <v>7.22977233635902E-013</v>
      </c>
      <c r="E8" s="10" t="s">
        <v>488</v>
      </c>
    </row>
    <row r="9" customFormat="false" ht="15" hidden="false" customHeight="false" outlineLevel="0" collapsed="false">
      <c r="A9" s="7" t="n">
        <v>5</v>
      </c>
      <c r="B9" s="7" t="s">
        <v>492</v>
      </c>
      <c r="C9" s="47" t="b">
        <f aca="false">SUMPRODUCT(ABS('Total Company'!C104:M104-'Model - NA'!C104:M104-'Model - INTL'!C104:M104-'Model - OTHER'!C104:M104))&lt;0.001</f>
        <v>1</v>
      </c>
      <c r="D9" s="26" t="n">
        <f aca="false">SUMPRODUCT(ABS('Total Company'!C104:M104-'Model - NA'!C104:M104-'Model - INTL'!C104:M104-'Model - OTHER'!C104:M104))</f>
        <v>7.22977233635902E-013</v>
      </c>
      <c r="E9" s="10" t="s">
        <v>488</v>
      </c>
    </row>
    <row r="10" customFormat="false" ht="15" hidden="false" customHeight="false" outlineLevel="0" collapsed="false">
      <c r="A10" s="7" t="n">
        <v>6</v>
      </c>
      <c r="B10" s="7" t="s">
        <v>493</v>
      </c>
      <c r="C10" s="47" t="b">
        <f aca="false">ABS('Total Company'!C70-6813.6)&lt;0.05</f>
        <v>1</v>
      </c>
      <c r="D10" s="26" t="n">
        <f aca="false">'Total Company'!C70</f>
        <v>6813.6</v>
      </c>
      <c r="E10" s="10" t="s">
        <v>494</v>
      </c>
    </row>
    <row r="11" customFormat="false" ht="15" hidden="false" customHeight="false" outlineLevel="0" collapsed="false">
      <c r="A11" s="7" t="n">
        <v>7</v>
      </c>
      <c r="B11" s="7" t="s">
        <v>495</v>
      </c>
      <c r="C11" s="47" t="b">
        <f aca="false">ABS('Total Company'!C80-393.1)&lt;0.05</f>
        <v>1</v>
      </c>
      <c r="D11" s="26" t="n">
        <f aca="false">'Total Company'!C80</f>
        <v>393.100000000001</v>
      </c>
      <c r="E11" s="10" t="s">
        <v>496</v>
      </c>
    </row>
    <row r="12" customFormat="false" ht="15" hidden="false" customHeight="false" outlineLevel="0" collapsed="false">
      <c r="A12" s="7" t="n">
        <v>8</v>
      </c>
      <c r="B12" s="7" t="s">
        <v>497</v>
      </c>
      <c r="C12" s="47" t="b">
        <f aca="false">ABS('Total Company'!C87-294.4)&lt;0.05</f>
        <v>1</v>
      </c>
      <c r="D12" s="26" t="n">
        <f aca="false">'Total Company'!C87</f>
        <v>294.400000000001</v>
      </c>
      <c r="E12" s="10" t="s">
        <v>498</v>
      </c>
    </row>
    <row r="13" customFormat="false" ht="15" hidden="false" customHeight="false" outlineLevel="0" collapsed="false">
      <c r="A13" s="7" t="n">
        <v>9</v>
      </c>
      <c r="B13" s="7" t="s">
        <v>499</v>
      </c>
      <c r="C13" s="47" t="b">
        <f aca="false">ABS('Total Company'!C110-1966.2)&lt;0.05</f>
        <v>1</v>
      </c>
      <c r="D13" s="26" t="n">
        <f aca="false">'Total Company'!C110</f>
        <v>1966.2</v>
      </c>
      <c r="E13" s="10" t="s">
        <v>500</v>
      </c>
    </row>
    <row r="14" customFormat="false" ht="15" hidden="false" customHeight="false" outlineLevel="0" collapsed="false">
      <c r="A14" s="7" t="n">
        <v>10</v>
      </c>
      <c r="B14" s="7" t="s">
        <v>501</v>
      </c>
      <c r="C14" s="47" t="b">
        <f aca="false">ABS('Model - NA'!C70-6363.6)&lt;0.05</f>
        <v>1</v>
      </c>
      <c r="D14" s="26" t="n">
        <f aca="false">'Model - NA'!C70</f>
        <v>6363.6</v>
      </c>
      <c r="E14" s="10" t="s">
        <v>502</v>
      </c>
    </row>
    <row r="15" customFormat="false" ht="15" hidden="false" customHeight="false" outlineLevel="0" collapsed="false">
      <c r="A15" s="7" t="n">
        <v>11</v>
      </c>
      <c r="B15" s="7" t="s">
        <v>503</v>
      </c>
      <c r="C15" s="47" t="b">
        <f aca="false">ABS('Model - NA'!C80-452.6)&lt;0.05</f>
        <v>1</v>
      </c>
      <c r="D15" s="26" t="n">
        <f aca="false">'Model - NA'!C80</f>
        <v>452.6</v>
      </c>
      <c r="E15" s="10" t="s">
        <v>504</v>
      </c>
    </row>
    <row r="16" customFormat="false" ht="15" hidden="false" customHeight="false" outlineLevel="0" collapsed="false">
      <c r="A16" s="7" t="n">
        <v>12</v>
      </c>
      <c r="B16" s="7" t="s">
        <v>505</v>
      </c>
      <c r="C16" s="47" t="b">
        <f aca="false">ABS('Model - INTL'!C70-410.4)&lt;0.05</f>
        <v>1</v>
      </c>
      <c r="D16" s="26" t="n">
        <f aca="false">'Model - INTL'!C70</f>
        <v>410.4</v>
      </c>
      <c r="E16" s="10" t="s">
        <v>506</v>
      </c>
    </row>
    <row r="17" customFormat="false" ht="15" hidden="false" customHeight="false" outlineLevel="0" collapsed="false">
      <c r="A17" s="7" t="n">
        <v>13</v>
      </c>
      <c r="B17" s="7" t="s">
        <v>507</v>
      </c>
      <c r="C17" s="47" t="b">
        <f aca="false">ABS('Model - INTL'!C80-16.3)&lt;0.05</f>
        <v>1</v>
      </c>
      <c r="D17" s="26" t="n">
        <f aca="false">'Model - INTL'!C80</f>
        <v>16.3</v>
      </c>
      <c r="E17" s="10" t="s">
        <v>508</v>
      </c>
    </row>
    <row r="18" customFormat="false" ht="15" hidden="false" customHeight="false" outlineLevel="0" collapsed="false">
      <c r="A18" s="7" t="n">
        <v>14</v>
      </c>
      <c r="B18" s="7" t="s">
        <v>509</v>
      </c>
      <c r="C18" s="47" t="b">
        <f aca="false">ABS('Model - OTHER'!C70-39.6)&lt;0.05</f>
        <v>1</v>
      </c>
      <c r="D18" s="26" t="n">
        <f aca="false">'Model - OTHER'!C70</f>
        <v>39.6</v>
      </c>
      <c r="E18" s="10" t="s">
        <v>510</v>
      </c>
    </row>
    <row r="19" customFormat="false" ht="15" hidden="false" customHeight="false" outlineLevel="0" collapsed="false">
      <c r="A19" s="7" t="n">
        <v>15</v>
      </c>
      <c r="B19" s="7" t="s">
        <v>511</v>
      </c>
      <c r="C19" s="47" t="b">
        <f aca="false">ABS('Model - OTHER'!C80--75.8)&lt;0.05</f>
        <v>1</v>
      </c>
      <c r="D19" s="26" t="n">
        <f aca="false">'Model - OTHER'!C80</f>
        <v>-75.8</v>
      </c>
      <c r="E19" s="10" t="s">
        <v>512</v>
      </c>
    </row>
    <row r="20" customFormat="false" ht="15" hidden="false" customHeight="false" outlineLevel="0" collapsed="false">
      <c r="A20" s="7" t="n">
        <v>16</v>
      </c>
      <c r="B20" s="7" t="s">
        <v>513</v>
      </c>
      <c r="C20" s="47" t="b">
        <f aca="false">SUMPRODUCT(ABS('Model - NA'!C112:M112))+SUMPRODUCT(ABS('Model - INTL'!C112:M112))+SUMPRODUCT(ABS('Model - OTHER'!C112:M112))+SUMPRODUCT(ABS('Total Company'!C112:M112))&lt;0.001</f>
        <v>1</v>
      </c>
      <c r="D20" s="26" t="n">
        <f aca="false">SUMPRODUCT(ABS('Model - NA'!C112:M112))+SUMPRODUCT(ABS('Model - INTL'!C112:M112))+SUMPRODUCT(ABS('Model - OTHER'!C112:M112))+SUMPRODUCT(ABS('Total Company'!C112:M112))</f>
        <v>0</v>
      </c>
      <c r="E20" s="10" t="s">
        <v>488</v>
      </c>
    </row>
    <row r="21" customFormat="false" ht="15" hidden="false" customHeight="false" outlineLevel="0" collapsed="false">
      <c r="A21" s="7" t="n">
        <v>17</v>
      </c>
      <c r="B21" s="7" t="s">
        <v>514</v>
      </c>
      <c r="C21" s="47" t="b">
        <f aca="false">SUMPRODUCT(ABS('Model - NA'!D111:M111))+SUMPRODUCT(ABS('Model - INTL'!D111:M111))+SUMPRODUCT(ABS('Model - OTHER'!D111:M111))+SUMPRODUCT(ABS('Total Company'!D111:M111))&lt;0.001</f>
        <v>1</v>
      </c>
      <c r="D21" s="26" t="n">
        <f aca="false">SUMPRODUCT(ABS('Model - NA'!D111:M111))+SUMPRODUCT(ABS('Model - INTL'!D111:M111))+SUMPRODUCT(ABS('Model - OTHER'!D111:M111))+SUMPRODUCT(ABS('Total Company'!D111:M111))</f>
        <v>0</v>
      </c>
      <c r="E21" s="10" t="s">
        <v>488</v>
      </c>
    </row>
    <row r="22" customFormat="false" ht="15" hidden="false" customHeight="false" outlineLevel="0" collapsed="false">
      <c r="A22" s="7" t="n">
        <v>18</v>
      </c>
      <c r="B22" s="7" t="s">
        <v>515</v>
      </c>
      <c r="C22" s="47" t="b">
        <f aca="false">SUMPRODUCT(ABS('Model - NA'!D40:M54-'Model - NA'!D6:M20-'Model - NA'!D23:M37))&lt;0.0000001</f>
        <v>1</v>
      </c>
      <c r="D22" s="26" t="n">
        <f aca="false">SUMPRODUCT(ABS('Model - NA'!D40:M54-'Model - NA'!D6:M20-'Model - NA'!D23:M37))</f>
        <v>0</v>
      </c>
      <c r="E22" s="10" t="s">
        <v>516</v>
      </c>
    </row>
    <row r="23" customFormat="false" ht="15" hidden="false" customHeight="false" outlineLevel="0" collapsed="false">
      <c r="A23" s="7" t="n">
        <v>19</v>
      </c>
      <c r="B23" s="7" t="s">
        <v>517</v>
      </c>
      <c r="C23" s="47" t="b">
        <f aca="false">SUMPRODUCT(ABS('Model - NA'!D23:M37))=0</f>
        <v>1</v>
      </c>
      <c r="D23" s="26" t="n">
        <f aca="false">SUMPRODUCT(ABS('Model - NA'!D23:M37))</f>
        <v>0</v>
      </c>
      <c r="E23" s="10" t="s">
        <v>518</v>
      </c>
    </row>
    <row r="24" customFormat="false" ht="15" hidden="false" customHeight="false" outlineLevel="0" collapsed="false">
      <c r="A24" s="7" t="n">
        <v>20</v>
      </c>
      <c r="B24" s="7" t="s">
        <v>519</v>
      </c>
      <c r="C24" s="47" t="b">
        <f aca="false">SUMPRODUCT(ABS('Model - INTL'!D40:M54-'Model - INTL'!D6:M20-'Model - INTL'!D23:M37))&lt;0.0000001</f>
        <v>1</v>
      </c>
      <c r="D24" s="26" t="n">
        <f aca="false">SUMPRODUCT(ABS('Model - INTL'!D40:M54-'Model - INTL'!D6:M20-'Model - INTL'!D23:M37))</f>
        <v>0</v>
      </c>
      <c r="E24" s="10" t="s">
        <v>516</v>
      </c>
    </row>
    <row r="25" customFormat="false" ht="15" hidden="false" customHeight="false" outlineLevel="0" collapsed="false">
      <c r="A25" s="7" t="n">
        <v>21</v>
      </c>
      <c r="B25" s="7" t="s">
        <v>520</v>
      </c>
      <c r="C25" s="47" t="b">
        <f aca="false">SUMPRODUCT(ABS('Model - INTL'!D23:M37))=0</f>
        <v>1</v>
      </c>
      <c r="D25" s="26" t="n">
        <f aca="false">SUMPRODUCT(ABS('Model - INTL'!D23:M37))</f>
        <v>0</v>
      </c>
      <c r="E25" s="10" t="s">
        <v>518</v>
      </c>
    </row>
    <row r="26" customFormat="false" ht="15" hidden="false" customHeight="false" outlineLevel="0" collapsed="false">
      <c r="A26" s="7" t="n">
        <v>22</v>
      </c>
      <c r="B26" s="7" t="s">
        <v>521</v>
      </c>
      <c r="C26" s="47" t="b">
        <f aca="false">SUMPRODUCT(ABS('Model - OTHER'!D40:M54-'Model - OTHER'!D6:M20-'Model - OTHER'!D23:M37))&lt;0.0000001</f>
        <v>1</v>
      </c>
      <c r="D26" s="26" t="n">
        <f aca="false">SUMPRODUCT(ABS('Model - OTHER'!D40:M54-'Model - OTHER'!D6:M20-'Model - OTHER'!D23:M37))</f>
        <v>0</v>
      </c>
      <c r="E26" s="10" t="s">
        <v>516</v>
      </c>
    </row>
    <row r="27" customFormat="false" ht="15" hidden="false" customHeight="false" outlineLevel="0" collapsed="false">
      <c r="A27" s="7" t="n">
        <v>23</v>
      </c>
      <c r="B27" s="7" t="s">
        <v>522</v>
      </c>
      <c r="C27" s="47" t="b">
        <f aca="false">SUMPRODUCT(ABS('Model - OTHER'!D23:M37))=0</f>
        <v>1</v>
      </c>
      <c r="D27" s="26" t="n">
        <f aca="false">SUMPRODUCT(ABS('Model - OTHER'!D23:M37))</f>
        <v>0</v>
      </c>
      <c r="E27" s="10" t="s">
        <v>518</v>
      </c>
    </row>
    <row r="28" customFormat="false" ht="15" hidden="false" customHeight="false" outlineLevel="0" collapsed="false">
      <c r="A28" s="7" t="n">
        <v>24</v>
      </c>
      <c r="B28" s="7" t="s">
        <v>523</v>
      </c>
      <c r="C28" s="47" t="b">
        <f aca="false">ABS('Model - NA'!C98-'Model - NA'!C99)&lt;0.05</f>
        <v>1</v>
      </c>
      <c r="D28" s="26" t="n">
        <f aca="false">ABS('Model - NA'!C98-'Model - NA'!C99)</f>
        <v>0.00299377557121261</v>
      </c>
      <c r="E28" s="10" t="s">
        <v>524</v>
      </c>
    </row>
    <row r="29" customFormat="false" ht="15" hidden="false" customHeight="false" outlineLevel="0" collapsed="false">
      <c r="A29" s="7" t="n">
        <v>25</v>
      </c>
      <c r="B29" s="7" t="s">
        <v>525</v>
      </c>
      <c r="C29" s="47" t="b">
        <f aca="false">ABS('Model - INTL'!C98-'Model - INTL'!C99)&lt;0.05</f>
        <v>1</v>
      </c>
      <c r="D29" s="26" t="n">
        <f aca="false">ABS('Model - INTL'!C98-'Model - INTL'!C99)</f>
        <v>0.00317878848234443</v>
      </c>
      <c r="E29" s="10" t="s">
        <v>524</v>
      </c>
    </row>
    <row r="30" customFormat="false" ht="15" hidden="false" customHeight="false" outlineLevel="0" collapsed="false">
      <c r="A30" s="7" t="n">
        <v>26</v>
      </c>
      <c r="B30" s="7" t="s">
        <v>526</v>
      </c>
      <c r="C30" s="47" t="b">
        <f aca="false">ABS('Model - OTHER'!C98-'Model - OTHER'!C99)&lt;0.05</f>
        <v>1</v>
      </c>
      <c r="D30" s="26" t="n">
        <f aca="false">ABS('Model - OTHER'!C98-'Model - OTHER'!C99)</f>
        <v>0.00459080926577826</v>
      </c>
      <c r="E30" s="10" t="s">
        <v>524</v>
      </c>
    </row>
    <row r="31" customFormat="false" ht="15" hidden="false" customHeight="false" outlineLevel="0" collapsed="false">
      <c r="A31" s="7" t="n">
        <v>27</v>
      </c>
      <c r="B31" s="7" t="s">
        <v>527</v>
      </c>
      <c r="C31" s="47" t="b">
        <f aca="false">ABS('Total Company'!C98-('Model - NA'!C98+'Model - INTL'!C98+'Model - OTHER'!C98))&lt;0.001</f>
        <v>1</v>
      </c>
      <c r="D31" s="26" t="n">
        <f aca="false">ABS('Total Company'!C98-('Model - NA'!C98+'Model - INTL'!C98+'Model - OTHER'!C98))</f>
        <v>0</v>
      </c>
      <c r="E31" s="10" t="s">
        <v>488</v>
      </c>
    </row>
    <row r="32" customFormat="false" ht="15" hidden="false" customHeight="false" outlineLevel="0" collapsed="false">
      <c r="A32" s="7" t="n">
        <v>28</v>
      </c>
      <c r="B32" s="7" t="s">
        <v>528</v>
      </c>
      <c r="C32" s="47" t="b">
        <f aca="false">SUMPRODUCT(ISERROR('Model - NA'!A1:O133)*1)+SUMPRODUCT(ISERROR('Model - INTL'!A1:O133)*1)+SUMPRODUCT(ISERROR('Model - OTHER'!A1:O133)*1)+SUMPRODUCT(ISERROR('Total Company'!A1:O133)*1)+SUMPRODUCT(ISERROR('Summary &amp; Chart'!A1:O133)*1)+SUMPRODUCT(ISERROR('Assumptions &amp; Sources'!A1:O133)*1)=0</f>
        <v>1</v>
      </c>
      <c r="D32" s="26" t="n">
        <f aca="false">SUMPRODUCT(ISERROR('Model - NA'!A1:O133)*1)+SUMPRODUCT(ISERROR('Model - INTL'!A1:O133)*1)+SUMPRODUCT(ISERROR('Model - OTHER'!A1:O133)*1)+SUMPRODUCT(ISERROR('Total Company'!A1:O133)*1)+SUMPRODUCT(ISERROR('Summary &amp; Chart'!A1:O133)*1)+SUMPRODUCT(ISERROR('Assumptions &amp; Sources'!A1:O133)*1)</f>
        <v>0</v>
      </c>
      <c r="E32" s="10" t="s">
        <v>529</v>
      </c>
    </row>
    <row r="33" customFormat="false" ht="15" hidden="false" customHeight="false" outlineLevel="0" collapsed="false">
      <c r="A33" s="7" t="n">
        <v>29</v>
      </c>
      <c r="B33" s="7" t="s">
        <v>530</v>
      </c>
      <c r="C33" s="47" t="b">
        <f aca="false">AND('Total Company'!D70&gt;=6700,'Total Company'!D70&lt;=6900)</f>
        <v>1</v>
      </c>
      <c r="D33" s="26" t="n">
        <f aca="false">'Total Company'!D70</f>
        <v>6831.52585283845</v>
      </c>
      <c r="E33" s="10" t="s">
        <v>531</v>
      </c>
    </row>
    <row r="34" customFormat="false" ht="15" hidden="false" customHeight="false" outlineLevel="0" collapsed="false">
      <c r="A34" s="7" t="n">
        <v>30</v>
      </c>
      <c r="B34" s="7" t="s">
        <v>532</v>
      </c>
      <c r="C34" s="47" t="b">
        <f aca="false">AND('Total Company'!D80&gt;=535,'Total Company'!D80&lt;=605)</f>
        <v>1</v>
      </c>
      <c r="D34" s="26" t="n">
        <f aca="false">'Total Company'!D80</f>
        <v>563.652755944258</v>
      </c>
      <c r="E34" s="10" t="s">
        <v>533</v>
      </c>
    </row>
    <row r="35" customFormat="false" ht="15" hidden="false" customHeight="false" outlineLevel="0" collapsed="false">
      <c r="A35" s="7" t="n">
        <v>31</v>
      </c>
      <c r="B35" s="7" t="s">
        <v>534</v>
      </c>
      <c r="C35" s="47" t="b">
        <f aca="false">AND('Total Company'!D116&gt;=10.45,'Total Company'!D116&lt;=12.15)</f>
        <v>1</v>
      </c>
      <c r="D35" s="26" t="n">
        <f aca="false">'Total Company'!D116</f>
        <v>11.156101766818</v>
      </c>
      <c r="E35" s="10" t="s">
        <v>535</v>
      </c>
    </row>
    <row r="36" customFormat="false" ht="15" hidden="false" customHeight="false" outlineLevel="0" collapsed="false">
      <c r="A36" s="7" t="n">
        <v>32</v>
      </c>
      <c r="B36" s="7" t="s">
        <v>536</v>
      </c>
      <c r="C36" s="47" t="b">
        <f aca="false">ABS('Total Company'!C126)&lt;=0.3</f>
        <v>1</v>
      </c>
      <c r="D36" s="26" t="n">
        <f aca="false">'Total Company'!C126</f>
        <v>-0.164539061015016</v>
      </c>
      <c r="E36" s="10" t="s">
        <v>537</v>
      </c>
    </row>
    <row r="38" customFormat="false" ht="15" hidden="false" customHeight="false" outlineLevel="0" collapsed="false">
      <c r="B38" s="3" t="s">
        <v>538</v>
      </c>
      <c r="C38" s="48" t="b">
        <f aca="false">AND(C5:C36)</f>
        <v>1</v>
      </c>
    </row>
    <row r="39" customFormat="false" ht="15" hidden="false" customHeight="false" outlineLevel="0" collapsed="false">
      <c r="B39" s="10" t="s">
        <v>539</v>
      </c>
    </row>
  </sheetData>
  <conditionalFormatting sqref="C5:C36">
    <cfRule type="cellIs" priority="2" operator="equal" aboveAverage="0" equalAverage="0" bottom="0" percent="0" rank="0" text="" dxfId="0">
      <formula>1</formula>
    </cfRule>
    <cfRule type="cellIs" priority="3" operator="equal" aboveAverage="0" equalAverage="0" bottom="0" percent="0" rank="0" text="" dxfId="1">
      <formula>0</formula>
    </cfRule>
  </conditionalFormatting>
  <conditionalFormatting sqref="C38">
    <cfRule type="cellIs" priority="4" operator="equal" aboveAverage="0" equalAverage="0" bottom="0" percent="0" rank="0" text="" dxfId="0">
      <formula>1</formula>
    </cfRule>
    <cfRule type="cellIs" priority="5"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2026-10-13T23:06:16Z</dcterms:created>
  <dc:creator>openpyxl</dc:creator>
  <dc:description/>
  <dc:language>en-US</dc:language>
  <cp:lastModifiedBy/>
  <dcterms:modified xsi:type="dcterms:W3CDTF">2026-10-13T23:06:16Z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